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risk analys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<sst xmlns="http://schemas.openxmlformats.org/spreadsheetml/2006/main" count="14" uniqueCount="14">
  <si>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</si>
  <si>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Price</t>
  </si>
  <si>
    <t>Daily Return(r)</t>
  </si>
  <si>
    <t>(r-mean)^2</t>
  </si>
  <si>
    <t>Risk Analysis</t>
  </si>
  <si>
    <t>mean</t>
  </si>
  <si>
    <t>total</t>
  </si>
  <si>
    <t>n</t>
  </si>
  <si>
    <t>variance</t>
  </si>
  <si>
    <t>std of daily return</t>
  </si>
  <si>
    <t>this number shows that apple return move up or down by 1.5% from it average</t>
  </si>
  <si>
    <t>annualize volatility</t>
  </si>
  <si>
    <t>this shows that over a year apple's price fluctuates within+-23% of it expected return</t>
  </si>
  <si>
    <t>Investors,options trader and portfolio manager care about stock's volatility because it directly impacts position sizing, risk limits, and option prices.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</si>
</sst>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00000_);[Red]\(0.0000000\)"/>
    <numFmt numFmtId="180" formatCode="0.000_ "/>
    <numFmt numFmtId="181" formatCode="0.0000_ "/>
    <numFmt numFmtId="182" formatCode="0.00000_ "/>
    <numFmt numFmtId="183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>
      <alignment vertical="center"/>
    </xf>
    <xf numFmtId="181" fontId="0" fillId="3" borderId="1" xfId="0" applyNumberFormat="1" applyFill="1" applyBorder="1">
      <alignment vertical="center"/>
    </xf>
    <xf numFmtId="0" fontId="1" fillId="4" borderId="1" xfId="0" applyFont="1" applyFill="1" applyBorder="1">
      <alignment vertical="center"/>
    </xf>
    <xf numFmtId="181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182" fontId="0" fillId="4" borderId="1" xfId="0" applyNumberFormat="1" applyFill="1" applyBorder="1">
      <alignment vertical="center"/>
    </xf>
    <xf numFmtId="180" fontId="0" fillId="4" borderId="1" xfId="0" applyNumberFormat="1" applyFill="1" applyBorder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83" fontId="0" fillId="3" borderId="1" xfId="0" applyNumberForma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1"/>
  <sheetViews>
    <sheetView tabSelected="1" zoomScale="116" zoomScaleNormal="116" workbookViewId="0">
      <selection activeCell="G14" sqref="G14"/>
    </sheetView>
  </sheetViews>
  <sheetFormatPr defaultColWidth="8.72727272727273" defaultRowHeight="14.5"/>
  <cols>
    <col min="1" max="1" width="11.3636363636364" style="1"/>
    <col min="2" max="2" width="9.81818181818182"/>
    <col min="3" max="3" width="14"/>
    <col min="4" max="4" width="12.8181818181818"/>
    <col min="7" max="7" width="16.7272727272727" customWidth="1"/>
    <col min="8" max="8" width="12.8181818181818"/>
  </cols>
  <sheetData>
    <row r="1" spans="1:16">
      <c r="A1" s="2" t="s">
        <v>0</v>
      </c>
      <c r="B1" s="3" t="s">
        <v>1</v>
      </c>
      <c r="C1" s="3" t="s">
        <v>2</v>
      </c>
      <c r="D1" s="4" t="s">
        <v>3</v>
      </c>
    </row>
    <row r="2" spans="1:16">
      <c r="A2" s="5">
        <v>45763</v>
      </c>
      <c r="B2" s="6">
        <v>194.27</v>
      </c>
      <c r="C2" s="6"/>
      <c r="D2" s="7">
        <f t="shared" ref="D2:D65" si="0">(C2-$J$1)^2</f>
        <v>0</v>
      </c>
    </row>
    <row r="3" spans="1:16">
      <c r="A3" s="5">
        <v>45764</v>
      </c>
      <c r="B3" s="6">
        <v>196.98</v>
      </c>
      <c r="C3" s="8">
        <f t="shared" ref="C3:C66" si="1">(B3-B2)/B2</f>
        <v>0.0139496576929015</v>
      </c>
      <c r="D3" s="7">
        <f t="shared" si="0"/>
        <v>0.000194592949749127</v>
      </c>
    </row>
    <row r="4" spans="1:16">
      <c r="A4" s="5">
        <v>45768</v>
      </c>
      <c r="B4" s="6">
        <v>193.16</v>
      </c>
      <c r="C4" s="8">
        <f t="shared" si="1"/>
        <v>-0.0193928317595695</v>
      </c>
      <c r="D4" s="7">
        <f t="shared" si="0"/>
        <v>0.000376081923654966</v>
      </c>
    </row>
    <row r="5" spans="1:16">
      <c r="A5" s="5">
        <v>45769</v>
      </c>
      <c r="B5" s="6">
        <v>199.74</v>
      </c>
      <c r="C5" s="8">
        <f t="shared" si="1"/>
        <v>0.0340650238144544</v>
      </c>
      <c r="D5" s="7">
        <f t="shared" si="0"/>
        <v>0.00116042584747935</v>
      </c>
      <c r="G5" s="9"/>
      <c r="H5" s="9"/>
    </row>
    <row r="6" spans="1:16">
      <c r="A6" s="5">
        <v>45770</v>
      </c>
      <c r="B6" s="6">
        <v>204.6</v>
      </c>
      <c r="C6" s="8">
        <f t="shared" si="1"/>
        <v>0.0243316311204565</v>
      </c>
      <c r="D6" s="7">
        <f t="shared" si="0"/>
        <v>0.000592028272981968</v>
      </c>
      <c r="G6" s="10" t="s">
        <v>4</v>
      </c>
      <c r="H6" s="10"/>
    </row>
    <row r="7" spans="1:16">
      <c r="A7" s="5">
        <v>45771</v>
      </c>
      <c r="B7" s="6">
        <v>208.37</v>
      </c>
      <c r="C7" s="8">
        <f t="shared" si="1"/>
        <v>0.0184261974584556</v>
      </c>
      <c r="D7" s="7">
        <f t="shared" si="0"/>
        <v>0.000339524752777995</v>
      </c>
      <c r="G7" s="11" t="s">
        <v>5</v>
      </c>
      <c r="H7" s="12">
        <f>AVERAGE(C:C)</f>
        <v>0.00137789737047185</v>
      </c>
    </row>
    <row r="8" spans="1:16">
      <c r="A8" s="5">
        <v>45772</v>
      </c>
      <c r="B8" s="6">
        <v>209.28</v>
      </c>
      <c r="C8" s="8">
        <f t="shared" si="1"/>
        <v>0.00436723136727934</v>
      </c>
      <c r="D8" s="7">
        <f t="shared" si="0"/>
        <v>1.90727098153486e-5</v>
      </c>
      <c r="G8" s="13" t="s">
        <v>6</v>
      </c>
      <c r="H8" s="14">
        <f>SUM(D2:D251)</f>
        <v>0.0548199190989657</v>
      </c>
    </row>
    <row r="9" spans="1:16">
      <c r="A9" s="5">
        <v>45775</v>
      </c>
      <c r="B9" s="6">
        <v>210.14</v>
      </c>
      <c r="C9" s="8">
        <f t="shared" si="1"/>
        <v>0.00410932721712531</v>
      </c>
      <c r="D9" s="7">
        <f t="shared" si="0"/>
        <v>1.68865701774069e-5</v>
      </c>
      <c r="G9" s="13" t="s">
        <v>7</v>
      </c>
      <c r="H9" s="15">
        <f>COUNT(D2:D251)</f>
        <v>250</v>
      </c>
    </row>
    <row r="10" spans="1:16">
      <c r="A10" s="5">
        <v>45776</v>
      </c>
      <c r="B10" s="6">
        <v>211.21</v>
      </c>
      <c r="C10" s="8">
        <f t="shared" si="1"/>
        <v>0.00509184353288294</v>
      </c>
      <c r="D10" s="7">
        <f t="shared" si="0"/>
        <v>2.59268705633618e-5</v>
      </c>
      <c r="G10" s="13" t="s">
        <v>8</v>
      </c>
      <c r="H10" s="16">
        <f>H8/(H9-1)</f>
        <v>0.000220160317666529</v>
      </c>
    </row>
    <row r="11" spans="1:16">
      <c r="A11" s="5">
        <v>45777</v>
      </c>
      <c r="B11" s="6">
        <v>212.5</v>
      </c>
      <c r="C11" s="8">
        <f t="shared" si="1"/>
        <v>0.0061076653567539</v>
      </c>
      <c r="D11" s="7">
        <f t="shared" si="0"/>
        <v>3.73035761100918e-5</v>
      </c>
      <c r="G11" s="13" t="s">
        <v>9</v>
      </c>
      <c r="H11" s="17">
        <f>H10^(1/2)</f>
        <v>0.0148378002974339</v>
      </c>
      <c r="I11" s="18" t="s">
        <v>10</v>
      </c>
      <c r="J11" s="19"/>
      <c r="K11" s="19"/>
      <c r="L11" s="19"/>
      <c r="M11" s="19"/>
      <c r="N11" s="19"/>
      <c r="O11" s="19"/>
      <c r="P11" s="19"/>
    </row>
    <row r="12" spans="1:16">
      <c r="A12" s="5">
        <v>45778</v>
      </c>
      <c r="B12" s="6">
        <v>213.32</v>
      </c>
      <c r="C12" s="8">
        <f t="shared" si="1"/>
        <v>0.00385882352941173</v>
      </c>
      <c r="D12" s="7">
        <f t="shared" si="0"/>
        <v>1.48905190311416e-5</v>
      </c>
      <c r="G12" s="11" t="s">
        <v>11</v>
      </c>
      <c r="H12" s="20">
        <f>H11*SQRT(H9)</f>
        <v>0.234606222033075</v>
      </c>
      <c r="I12" s="18" t="s">
        <v>12</v>
      </c>
      <c r="J12" s="19"/>
      <c r="K12" s="19"/>
      <c r="L12" s="19"/>
      <c r="M12" s="19"/>
      <c r="N12" s="19"/>
      <c r="O12" s="19"/>
      <c r="P12" s="19"/>
    </row>
    <row r="13" spans="1:16">
      <c r="A13" s="5">
        <v>45779</v>
      </c>
      <c r="B13" s="6">
        <v>205.35</v>
      </c>
      <c r="C13" s="8">
        <f t="shared" si="1"/>
        <v>-0.0373617101068817</v>
      </c>
      <c r="D13" s="7">
        <f t="shared" si="0"/>
        <v>0.00139589738211066</v>
      </c>
    </row>
    <row r="14" spans="1:16">
      <c r="A14" s="5">
        <v>45782</v>
      </c>
      <c r="B14" s="6">
        <v>198.89</v>
      </c>
      <c r="C14" s="8">
        <f t="shared" si="1"/>
        <v>-0.0314584855125396</v>
      </c>
      <c r="D14" s="7">
        <f t="shared" si="0"/>
        <v>0.000989636310742665</v>
      </c>
      <c r="G14" s="18" t="s">
        <v>13</v>
      </c>
    </row>
    <row r="15" spans="1:16">
      <c r="A15" s="5">
        <v>45783</v>
      </c>
      <c r="B15" s="6">
        <v>198.51</v>
      </c>
      <c r="C15" s="8">
        <f t="shared" si="1"/>
        <v>-0.00191060385137511</v>
      </c>
      <c r="D15" s="7">
        <f t="shared" si="0"/>
        <v>3.6504070768894e-6</v>
      </c>
    </row>
    <row r="16" spans="1:16">
      <c r="A16" s="5">
        <v>45784</v>
      </c>
      <c r="B16" s="6">
        <v>196.25</v>
      </c>
      <c r="C16" s="8">
        <f t="shared" si="1"/>
        <v>-0.0113848168857992</v>
      </c>
      <c r="D16" s="7">
        <f t="shared" si="0"/>
        <v>0.000129614055523178</v>
      </c>
    </row>
    <row r="17" spans="1:4">
      <c r="A17" s="5">
        <v>45785</v>
      </c>
      <c r="B17" s="6">
        <v>197.49</v>
      </c>
      <c r="C17" s="8">
        <f t="shared" si="1"/>
        <v>0.00631847133757966</v>
      </c>
      <c r="D17" s="7">
        <f t="shared" si="0"/>
        <v>3.99230800438157e-5</v>
      </c>
    </row>
    <row r="18" spans="1:4">
      <c r="A18" s="5">
        <v>45786</v>
      </c>
      <c r="B18" s="6">
        <v>198.53</v>
      </c>
      <c r="C18" s="8">
        <f t="shared" si="1"/>
        <v>0.00526608942224919</v>
      </c>
      <c r="D18" s="7">
        <f t="shared" si="0"/>
        <v>2.77316978031248e-5</v>
      </c>
    </row>
    <row r="19" spans="1:4">
      <c r="A19" s="5">
        <v>45789</v>
      </c>
      <c r="B19" s="6">
        <v>210.79</v>
      </c>
      <c r="C19" s="8">
        <f t="shared" si="1"/>
        <v>0.0617538910995819</v>
      </c>
      <c r="D19" s="7">
        <f t="shared" si="0"/>
        <v>0.00381354306593902</v>
      </c>
    </row>
    <row r="20" spans="1:4">
      <c r="A20" s="5">
        <v>45790</v>
      </c>
      <c r="B20" s="6">
        <v>212.93</v>
      </c>
      <c r="C20" s="8">
        <f t="shared" si="1"/>
        <v>0.0101522842639595</v>
      </c>
      <c r="D20" s="7">
        <f t="shared" si="0"/>
        <v>0.000103068875776239</v>
      </c>
    </row>
    <row r="21" spans="1:4">
      <c r="A21" s="5">
        <v>45791</v>
      </c>
      <c r="B21" s="6">
        <v>212.33</v>
      </c>
      <c r="C21" s="8">
        <f t="shared" si="1"/>
        <v>-0.00281782745503214</v>
      </c>
      <c r="D21" s="7">
        <f t="shared" si="0"/>
        <v>7.94015156633293e-6</v>
      </c>
    </row>
    <row r="22" spans="1:4">
      <c r="A22" s="5">
        <v>45792</v>
      </c>
      <c r="B22" s="6">
        <v>211.45</v>
      </c>
      <c r="C22" s="8">
        <f t="shared" si="1"/>
        <v>-0.00414449206423974</v>
      </c>
      <c r="D22" s="7">
        <f t="shared" si="0"/>
        <v>1.71768144705462e-5</v>
      </c>
    </row>
    <row r="23" spans="1:4">
      <c r="A23" s="5">
        <v>45793</v>
      </c>
      <c r="B23" s="6">
        <v>211.26</v>
      </c>
      <c r="C23" s="8">
        <f t="shared" si="1"/>
        <v>-0.000898557578623777</v>
      </c>
      <c r="D23" s="7">
        <f t="shared" si="0"/>
        <v>8.07405722102226e-7</v>
      </c>
    </row>
    <row r="24" spans="1:4">
      <c r="A24" s="5">
        <v>45796</v>
      </c>
      <c r="B24" s="6">
        <v>208.78</v>
      </c>
      <c r="C24" s="8">
        <f t="shared" si="1"/>
        <v>-0.0117390892738805</v>
      </c>
      <c r="D24" s="7">
        <f t="shared" si="0"/>
        <v>0.000137806216980136</v>
      </c>
    </row>
    <row r="25" spans="1:4">
      <c r="A25" s="5">
        <v>45797</v>
      </c>
      <c r="B25" s="6">
        <v>206.86</v>
      </c>
      <c r="C25" s="8">
        <f t="shared" si="1"/>
        <v>-0.00919628316888585</v>
      </c>
      <c r="D25" s="7">
        <f t="shared" si="0"/>
        <v>8.45716241223332e-5</v>
      </c>
    </row>
    <row r="26" spans="1:4">
      <c r="A26" s="5">
        <v>45798</v>
      </c>
      <c r="B26" s="6">
        <v>202.09</v>
      </c>
      <c r="C26" s="8">
        <f t="shared" si="1"/>
        <v>-0.0230590737696994</v>
      </c>
      <c r="D26" s="7">
        <f t="shared" si="0"/>
        <v>0.000531720883116437</v>
      </c>
    </row>
    <row r="27" spans="1:4">
      <c r="A27" s="5">
        <v>45799</v>
      </c>
      <c r="B27" s="6">
        <v>201.36</v>
      </c>
      <c r="C27" s="8">
        <f t="shared" si="1"/>
        <v>-0.00361225196694537</v>
      </c>
      <c r="D27" s="7">
        <f t="shared" si="0"/>
        <v>1.30483642727007e-5</v>
      </c>
    </row>
    <row r="28" spans="1:4">
      <c r="A28" s="5">
        <v>45800</v>
      </c>
      <c r="B28" s="6">
        <v>195.27</v>
      </c>
      <c r="C28" s="8">
        <f t="shared" si="1"/>
        <v>-0.0302443384982122</v>
      </c>
      <c r="D28" s="7">
        <f t="shared" si="0"/>
        <v>0.000914720011194439</v>
      </c>
    </row>
    <row r="29" spans="1:4">
      <c r="A29" s="5">
        <v>45804</v>
      </c>
      <c r="B29" s="6">
        <v>200.21</v>
      </c>
      <c r="C29" s="8">
        <f t="shared" si="1"/>
        <v>0.0252983049111487</v>
      </c>
      <c r="D29" s="7">
        <f t="shared" si="0"/>
        <v>0.000640004231377448</v>
      </c>
    </row>
    <row r="30" spans="1:4">
      <c r="A30" s="5">
        <v>45805</v>
      </c>
      <c r="B30" s="6">
        <v>200.42</v>
      </c>
      <c r="C30" s="8">
        <f t="shared" si="1"/>
        <v>0.00104889865641067</v>
      </c>
      <c r="D30" s="7">
        <f t="shared" si="0"/>
        <v>1.1001883914201e-6</v>
      </c>
    </row>
    <row r="31" spans="1:4">
      <c r="A31" s="5">
        <v>45806</v>
      </c>
      <c r="B31" s="6">
        <v>199.95</v>
      </c>
      <c r="C31" s="8">
        <f t="shared" si="1"/>
        <v>-0.00234507534178225</v>
      </c>
      <c r="D31" s="7">
        <f t="shared" si="0"/>
        <v>5.49937835863514e-6</v>
      </c>
    </row>
    <row r="32" spans="1:4">
      <c r="A32" s="5">
        <v>45807</v>
      </c>
      <c r="B32" s="6">
        <v>200.85</v>
      </c>
      <c r="C32" s="8">
        <f t="shared" si="1"/>
        <v>0.00450112528132036</v>
      </c>
      <c r="D32" s="7">
        <f t="shared" si="0"/>
        <v>2.02601287981413e-5</v>
      </c>
    </row>
    <row r="33" spans="1:4">
      <c r="A33" s="5">
        <v>45810</v>
      </c>
      <c r="B33" s="6">
        <v>201.7</v>
      </c>
      <c r="C33" s="8">
        <f t="shared" si="1"/>
        <v>0.00423201394075178</v>
      </c>
      <c r="D33" s="7">
        <f t="shared" si="0"/>
        <v>1.79099419947174e-5</v>
      </c>
    </row>
    <row r="34" spans="1:4">
      <c r="A34" s="5">
        <v>45811</v>
      </c>
      <c r="B34" s="6">
        <v>203.27</v>
      </c>
      <c r="C34" s="8">
        <f t="shared" si="1"/>
        <v>0.00778383738225097</v>
      </c>
      <c r="D34" s="7">
        <f t="shared" si="0"/>
        <v>6.05881243933277e-5</v>
      </c>
    </row>
    <row r="35" spans="1:4">
      <c r="A35" s="5">
        <v>45812</v>
      </c>
      <c r="B35" s="6">
        <v>202.82</v>
      </c>
      <c r="C35" s="8">
        <f t="shared" si="1"/>
        <v>-0.00221380429969999</v>
      </c>
      <c r="D35" s="7">
        <f t="shared" si="0"/>
        <v>4.90092947737016e-6</v>
      </c>
    </row>
    <row r="36" spans="1:4">
      <c r="A36" s="5">
        <v>45813</v>
      </c>
      <c r="B36" s="6">
        <v>200.63</v>
      </c>
      <c r="C36" s="8">
        <f t="shared" si="1"/>
        <v>-0.0107977517010157</v>
      </c>
      <c r="D36" s="7">
        <f t="shared" si="0"/>
        <v>0.000116591441796787</v>
      </c>
    </row>
    <row r="37" spans="1:4">
      <c r="A37" s="5">
        <v>45814</v>
      </c>
      <c r="B37" s="6">
        <v>203.92</v>
      </c>
      <c r="C37" s="8">
        <f t="shared" si="1"/>
        <v>0.0163983452125803</v>
      </c>
      <c r="D37" s="7">
        <f t="shared" si="0"/>
        <v>0.000268905725710956</v>
      </c>
    </row>
    <row r="38" spans="1:4">
      <c r="A38" s="5">
        <v>45817</v>
      </c>
      <c r="B38" s="6">
        <v>201.45</v>
      </c>
      <c r="C38" s="8">
        <f t="shared" si="1"/>
        <v>-0.0121125931737936</v>
      </c>
      <c r="D38" s="7">
        <f t="shared" si="0"/>
        <v>0.000146714913393832</v>
      </c>
    </row>
    <row r="39" spans="1:4">
      <c r="A39" s="5">
        <v>45818</v>
      </c>
      <c r="B39" s="6">
        <v>202.67</v>
      </c>
      <c r="C39" s="8">
        <f t="shared" si="1"/>
        <v>0.00605609332340531</v>
      </c>
      <c r="D39" s="7">
        <f t="shared" si="0"/>
        <v>3.66762663417943e-5</v>
      </c>
    </row>
    <row r="40" spans="1:4">
      <c r="A40" s="5">
        <v>45819</v>
      </c>
      <c r="B40" s="6">
        <v>198.78</v>
      </c>
      <c r="C40" s="8">
        <f t="shared" si="1"/>
        <v>-0.0191937632604726</v>
      </c>
      <c r="D40" s="7">
        <f t="shared" si="0"/>
        <v>0.000368400548099069</v>
      </c>
    </row>
    <row r="41" spans="1:4">
      <c r="A41" s="5">
        <v>45820</v>
      </c>
      <c r="B41" s="6">
        <v>199.2</v>
      </c>
      <c r="C41" s="8">
        <f t="shared" si="1"/>
        <v>0.00211288862058551</v>
      </c>
      <c r="D41" s="7">
        <f t="shared" si="0"/>
        <v>4.46429832299974e-6</v>
      </c>
    </row>
    <row r="42" spans="1:4">
      <c r="A42" s="5">
        <v>45821</v>
      </c>
      <c r="B42" s="6">
        <v>196.45</v>
      </c>
      <c r="C42" s="8">
        <f t="shared" si="1"/>
        <v>-0.0138052208835341</v>
      </c>
      <c r="D42" s="7">
        <f t="shared" si="0"/>
        <v>0.000190584123643167</v>
      </c>
    </row>
    <row r="43" spans="1:4">
      <c r="A43" s="5">
        <v>45824</v>
      </c>
      <c r="B43" s="6">
        <v>198.42</v>
      </c>
      <c r="C43" s="8">
        <f t="shared" si="1"/>
        <v>0.0100279969457877</v>
      </c>
      <c r="D43" s="7">
        <f t="shared" si="0"/>
        <v>0.000100560722744728</v>
      </c>
    </row>
    <row r="44" spans="1:4">
      <c r="A44" s="5">
        <v>45825</v>
      </c>
      <c r="B44" s="6">
        <v>195.64</v>
      </c>
      <c r="C44" s="8">
        <f t="shared" si="1"/>
        <v>-0.0140106844068138</v>
      </c>
      <c r="D44" s="7">
        <f t="shared" si="0"/>
        <v>0.000196299277547336</v>
      </c>
    </row>
    <row r="45" spans="1:4">
      <c r="A45" s="5">
        <v>45826</v>
      </c>
      <c r="B45" s="6">
        <v>196.58</v>
      </c>
      <c r="C45" s="8">
        <f t="shared" si="1"/>
        <v>0.00480474340625652</v>
      </c>
      <c r="D45" s="7">
        <f t="shared" si="0"/>
        <v>2.30855591999655e-5</v>
      </c>
    </row>
    <row r="46" spans="1:4">
      <c r="A46" s="5">
        <v>45828</v>
      </c>
      <c r="B46" s="6">
        <v>201</v>
      </c>
      <c r="C46" s="8">
        <f t="shared" si="1"/>
        <v>0.0224844846881676</v>
      </c>
      <c r="D46" s="7">
        <f t="shared" si="0"/>
        <v>0.000505552051692443</v>
      </c>
    </row>
    <row r="47" spans="1:4">
      <c r="A47" s="5">
        <v>45831</v>
      </c>
      <c r="B47" s="6">
        <v>201.5</v>
      </c>
      <c r="C47" s="8">
        <f t="shared" si="1"/>
        <v>0.00248756218905473</v>
      </c>
      <c r="D47" s="7">
        <f t="shared" si="0"/>
        <v>6.18796564441474e-6</v>
      </c>
    </row>
    <row r="48" spans="1:4">
      <c r="A48" s="5">
        <v>45832</v>
      </c>
      <c r="B48" s="6">
        <v>200.3</v>
      </c>
      <c r="C48" s="8">
        <f t="shared" si="1"/>
        <v>-0.005955334987593</v>
      </c>
      <c r="D48" s="7">
        <f t="shared" si="0"/>
        <v>3.54660148144493e-5</v>
      </c>
    </row>
    <row r="49" spans="1:4">
      <c r="A49" s="5">
        <v>45833</v>
      </c>
      <c r="B49" s="6">
        <v>201.56</v>
      </c>
      <c r="C49" s="8">
        <f t="shared" si="1"/>
        <v>0.0062905641537693</v>
      </c>
      <c r="D49" s="7">
        <f t="shared" si="0"/>
        <v>3.95711973726873e-5</v>
      </c>
    </row>
    <row r="50" spans="1:4">
      <c r="A50" s="5">
        <v>45834</v>
      </c>
      <c r="B50" s="6">
        <v>201</v>
      </c>
      <c r="C50" s="8">
        <f t="shared" si="1"/>
        <v>-0.00277832903353841</v>
      </c>
      <c r="D50" s="7">
        <f t="shared" si="0"/>
        <v>7.71911221860248e-6</v>
      </c>
    </row>
    <row r="51" spans="1:4">
      <c r="A51" s="5">
        <v>45835</v>
      </c>
      <c r="B51" s="6">
        <v>201.08</v>
      </c>
      <c r="C51" s="8">
        <f t="shared" si="1"/>
        <v>0.000398009950248818</v>
      </c>
      <c r="D51" s="7">
        <f t="shared" si="0"/>
        <v>1.58411920497067e-7</v>
      </c>
    </row>
    <row r="52" spans="1:4">
      <c r="A52" s="5">
        <v>45838</v>
      </c>
      <c r="B52" s="6">
        <v>205.17</v>
      </c>
      <c r="C52" s="8">
        <f t="shared" si="1"/>
        <v>0.0203401631191564</v>
      </c>
      <c r="D52" s="7">
        <f t="shared" si="0"/>
        <v>0.000413722235713891</v>
      </c>
    </row>
    <row r="53" spans="1:4">
      <c r="A53" s="5">
        <v>45839</v>
      </c>
      <c r="B53" s="6">
        <v>207.82</v>
      </c>
      <c r="C53" s="8">
        <f t="shared" si="1"/>
        <v>0.0129161183408881</v>
      </c>
      <c r="D53" s="7">
        <f t="shared" si="0"/>
        <v>0.000166826112995825</v>
      </c>
    </row>
    <row r="54" spans="1:4">
      <c r="A54" s="5">
        <v>45840</v>
      </c>
      <c r="B54" s="6">
        <v>212.44</v>
      </c>
      <c r="C54" s="8">
        <f t="shared" si="1"/>
        <v>0.0222307766336253</v>
      </c>
      <c r="D54" s="7">
        <f t="shared" si="0"/>
        <v>0.00049420742973414</v>
      </c>
    </row>
    <row r="55" spans="1:4">
      <c r="A55" s="5">
        <v>45841</v>
      </c>
      <c r="B55" s="6">
        <v>213.55</v>
      </c>
      <c r="C55" s="8">
        <f t="shared" si="1"/>
        <v>0.00522500470721151</v>
      </c>
      <c r="D55" s="7">
        <f t="shared" si="0"/>
        <v>2.73006741903825e-5</v>
      </c>
    </row>
    <row r="56" spans="1:4">
      <c r="A56" s="5">
        <v>45845</v>
      </c>
      <c r="B56" s="6">
        <v>209.95</v>
      </c>
      <c r="C56" s="8">
        <f t="shared" si="1"/>
        <v>-0.0168578787169282</v>
      </c>
      <c r="D56" s="7">
        <f t="shared" si="0"/>
        <v>0.000284188074834662</v>
      </c>
    </row>
    <row r="57" spans="1:4">
      <c r="A57" s="5">
        <v>45846</v>
      </c>
      <c r="B57" s="6">
        <v>210.01</v>
      </c>
      <c r="C57" s="8">
        <f t="shared" si="1"/>
        <v>0.000285782329125993</v>
      </c>
      <c r="D57" s="7">
        <f t="shared" si="0"/>
        <v>8.16715396406775e-8</v>
      </c>
    </row>
    <row r="58" spans="1:4">
      <c r="A58" s="5">
        <v>45847</v>
      </c>
      <c r="B58" s="6">
        <v>211.14</v>
      </c>
      <c r="C58" s="8">
        <f t="shared" si="1"/>
        <v>0.00538069615732582</v>
      </c>
      <c r="D58" s="7">
        <f t="shared" si="0"/>
        <v>2.89518911374608e-5</v>
      </c>
    </row>
    <row r="59" spans="1:4">
      <c r="A59" s="5">
        <v>45848</v>
      </c>
      <c r="B59" s="6">
        <v>212.41</v>
      </c>
      <c r="C59" s="8">
        <f t="shared" si="1"/>
        <v>0.00601496637302269</v>
      </c>
      <c r="D59" s="7">
        <f t="shared" si="0"/>
        <v>3.61798204685937e-5</v>
      </c>
    </row>
    <row r="60" spans="1:4">
      <c r="A60" s="5">
        <v>45849</v>
      </c>
      <c r="B60" s="6">
        <v>211.16</v>
      </c>
      <c r="C60" s="8">
        <f t="shared" si="1"/>
        <v>-0.0058848453462643</v>
      </c>
      <c r="D60" s="7">
        <f t="shared" si="0"/>
        <v>3.46314047494486e-5</v>
      </c>
    </row>
    <row r="61" spans="1:4">
      <c r="A61" s="5">
        <v>45852</v>
      </c>
      <c r="B61" s="6">
        <v>208.62</v>
      </c>
      <c r="C61" s="8">
        <f t="shared" si="1"/>
        <v>-0.0120287933320704</v>
      </c>
      <c r="D61" s="7">
        <f t="shared" si="0"/>
        <v>0.000144691869025662</v>
      </c>
    </row>
    <row r="62" spans="1:4">
      <c r="A62" s="5">
        <v>45853</v>
      </c>
      <c r="B62" s="6">
        <v>209.11</v>
      </c>
      <c r="C62" s="8">
        <f t="shared" si="1"/>
        <v>0.00234876809510118</v>
      </c>
      <c r="D62" s="7">
        <f t="shared" si="0"/>
        <v>5.51671156456525e-6</v>
      </c>
    </row>
    <row r="63" spans="1:4">
      <c r="A63" s="5">
        <v>45854</v>
      </c>
      <c r="B63" s="6">
        <v>210.16</v>
      </c>
      <c r="C63" s="8">
        <f t="shared" si="1"/>
        <v>0.00502128066567827</v>
      </c>
      <c r="D63" s="7">
        <f t="shared" si="0"/>
        <v>2.52132595235144e-5</v>
      </c>
    </row>
    <row r="64" spans="1:4">
      <c r="A64" s="5">
        <v>45855</v>
      </c>
      <c r="B64" s="6">
        <v>210.02</v>
      </c>
      <c r="C64" s="8">
        <f t="shared" si="1"/>
        <v>-0.000666159116863277</v>
      </c>
      <c r="D64" s="7">
        <f t="shared" si="0"/>
        <v>4.43767968980062e-7</v>
      </c>
    </row>
    <row r="65" spans="1:4">
      <c r="A65" s="5">
        <v>45856</v>
      </c>
      <c r="B65" s="6">
        <v>211.18</v>
      </c>
      <c r="C65" s="8">
        <f t="shared" si="1"/>
        <v>0.00552328349680981</v>
      </c>
      <c r="D65" s="7">
        <f t="shared" si="0"/>
        <v>3.05066605861316e-5</v>
      </c>
    </row>
    <row r="66" spans="1:4">
      <c r="A66" s="5">
        <v>45859</v>
      </c>
      <c r="B66" s="6">
        <v>212.48</v>
      </c>
      <c r="C66" s="8">
        <f t="shared" si="1"/>
        <v>0.00615588597405049</v>
      </c>
      <c r="D66" s="7">
        <f t="shared" ref="D66:D129" si="2">(C66-$J$1)^2</f>
        <v>3.78949321255116e-5</v>
      </c>
    </row>
    <row r="67" spans="1:4">
      <c r="A67" s="5">
        <v>45860</v>
      </c>
      <c r="B67" s="6">
        <v>214.4</v>
      </c>
      <c r="C67" s="8">
        <f t="shared" ref="C67:C130" si="3">(B67-B66)/B66</f>
        <v>0.00903614457831333</v>
      </c>
      <c r="D67" s="7">
        <f t="shared" si="2"/>
        <v>8.16519088401814e-5</v>
      </c>
    </row>
    <row r="68" spans="1:4">
      <c r="A68" s="5">
        <v>45861</v>
      </c>
      <c r="B68" s="6">
        <v>214.15</v>
      </c>
      <c r="C68" s="8">
        <f t="shared" si="3"/>
        <v>-0.0011660447761194</v>
      </c>
      <c r="D68" s="7">
        <f t="shared" si="2"/>
        <v>1.35966041991535e-6</v>
      </c>
    </row>
    <row r="69" spans="1:4">
      <c r="A69" s="5">
        <v>45862</v>
      </c>
      <c r="B69" s="6">
        <v>213.76</v>
      </c>
      <c r="C69" s="8">
        <f t="shared" si="3"/>
        <v>-0.0018211533971516</v>
      </c>
      <c r="D69" s="7">
        <f t="shared" si="2"/>
        <v>3.31659969595681e-6</v>
      </c>
    </row>
    <row r="70" spans="1:4">
      <c r="A70" s="5">
        <v>45863</v>
      </c>
      <c r="B70" s="6">
        <v>213.88</v>
      </c>
      <c r="C70" s="8">
        <f t="shared" si="3"/>
        <v>0.000561377245509003</v>
      </c>
      <c r="D70" s="7">
        <f t="shared" si="2"/>
        <v>3.15144411775276e-7</v>
      </c>
    </row>
    <row r="71" spans="1:4">
      <c r="A71" s="5">
        <v>45866</v>
      </c>
      <c r="B71" s="6">
        <v>214.05</v>
      </c>
      <c r="C71" s="8">
        <f t="shared" si="3"/>
        <v>0.000794838227043276</v>
      </c>
      <c r="D71" s="7">
        <f t="shared" si="2"/>
        <v>6.31767807169299e-7</v>
      </c>
    </row>
    <row r="72" spans="1:4">
      <c r="A72" s="5">
        <v>45867</v>
      </c>
      <c r="B72" s="6">
        <v>211.27</v>
      </c>
      <c r="C72" s="8">
        <f t="shared" si="3"/>
        <v>-0.0129876197150199</v>
      </c>
      <c r="D72" s="7">
        <f t="shared" si="2"/>
        <v>0.000168678265861973</v>
      </c>
    </row>
    <row r="73" spans="1:4">
      <c r="A73" s="5">
        <v>45868</v>
      </c>
      <c r="B73" s="6">
        <v>209.05</v>
      </c>
      <c r="C73" s="8">
        <f t="shared" si="3"/>
        <v>-0.010507880910683</v>
      </c>
      <c r="D73" s="7">
        <f t="shared" si="2"/>
        <v>0.000110415561233096</v>
      </c>
    </row>
    <row r="74" spans="1:4">
      <c r="A74" s="5">
        <v>45869</v>
      </c>
      <c r="B74" s="6">
        <v>207.57</v>
      </c>
      <c r="C74" s="8">
        <f t="shared" si="3"/>
        <v>-0.0070796460176992</v>
      </c>
      <c r="D74" s="7">
        <f t="shared" si="2"/>
        <v>5.01213877359242e-5</v>
      </c>
    </row>
    <row r="75" spans="1:4">
      <c r="A75" s="5">
        <v>45870</v>
      </c>
      <c r="B75" s="6">
        <v>202.38</v>
      </c>
      <c r="C75" s="8">
        <f t="shared" si="3"/>
        <v>-0.0250036132389073</v>
      </c>
      <c r="D75" s="7">
        <f t="shared" si="2"/>
        <v>0.000625180675000863</v>
      </c>
    </row>
    <row r="76" spans="1:4">
      <c r="A76" s="5">
        <v>45873</v>
      </c>
      <c r="B76" s="6">
        <v>203.35</v>
      </c>
      <c r="C76" s="8">
        <f t="shared" si="3"/>
        <v>0.00479296373159403</v>
      </c>
      <c r="D76" s="7">
        <f t="shared" si="2"/>
        <v>2.29725013323757e-5</v>
      </c>
    </row>
    <row r="77" spans="1:4">
      <c r="A77" s="5">
        <v>45874</v>
      </c>
      <c r="B77" s="6">
        <v>202.92</v>
      </c>
      <c r="C77" s="8">
        <f t="shared" si="3"/>
        <v>-0.0021145807720679</v>
      </c>
      <c r="D77" s="7">
        <f t="shared" si="2"/>
        <v>4.47145184159926e-6</v>
      </c>
    </row>
    <row r="78" spans="1:4">
      <c r="A78" s="5">
        <v>45875</v>
      </c>
      <c r="B78" s="6">
        <v>213.25</v>
      </c>
      <c r="C78" s="8">
        <f t="shared" si="3"/>
        <v>0.0509067612852356</v>
      </c>
      <c r="D78" s="7">
        <f t="shared" si="2"/>
        <v>0.00259149834455196</v>
      </c>
    </row>
    <row r="79" spans="1:4">
      <c r="A79" s="5">
        <v>45876</v>
      </c>
      <c r="B79" s="6">
        <v>220.03</v>
      </c>
      <c r="C79" s="8">
        <f t="shared" si="3"/>
        <v>0.0317936694021102</v>
      </c>
      <c r="D79" s="7">
        <f t="shared" si="2"/>
        <v>0.00101083741405068</v>
      </c>
    </row>
    <row r="80" spans="1:4">
      <c r="A80" s="5">
        <v>45877</v>
      </c>
      <c r="B80" s="6">
        <v>229.35</v>
      </c>
      <c r="C80" s="8">
        <f t="shared" si="3"/>
        <v>0.0423578602917784</v>
      </c>
      <c r="D80" s="7">
        <f t="shared" si="2"/>
        <v>0.00179418832849781</v>
      </c>
    </row>
    <row r="81" spans="1:4">
      <c r="A81" s="5">
        <v>45880</v>
      </c>
      <c r="B81" s="6">
        <v>227.18</v>
      </c>
      <c r="C81" s="8">
        <f t="shared" si="3"/>
        <v>-0.00946152169173746</v>
      </c>
      <c r="D81" s="7">
        <f t="shared" si="2"/>
        <v>8.95203927232186e-5</v>
      </c>
    </row>
    <row r="82" spans="1:4">
      <c r="A82" s="5">
        <v>45881</v>
      </c>
      <c r="B82" s="6">
        <v>229.65</v>
      </c>
      <c r="C82" s="8">
        <f t="shared" si="3"/>
        <v>0.0108724359538692</v>
      </c>
      <c r="D82" s="7">
        <f t="shared" si="2"/>
        <v>0.000118209863570987</v>
      </c>
    </row>
    <row r="83" spans="1:4">
      <c r="A83" s="5">
        <v>45882</v>
      </c>
      <c r="B83" s="6">
        <v>233.33</v>
      </c>
      <c r="C83" s="8">
        <f t="shared" si="3"/>
        <v>0.0160243849335946</v>
      </c>
      <c r="D83" s="7">
        <f t="shared" si="2"/>
        <v>0.000256780912500015</v>
      </c>
    </row>
    <row r="84" spans="1:4">
      <c r="A84" s="5">
        <v>45883</v>
      </c>
      <c r="B84" s="6">
        <v>232.78</v>
      </c>
      <c r="C84" s="8">
        <f t="shared" si="3"/>
        <v>-0.00235717653109335</v>
      </c>
      <c r="D84" s="7">
        <f t="shared" si="2"/>
        <v>5.55628119873728e-6</v>
      </c>
    </row>
    <row r="85" spans="1:4">
      <c r="A85" s="5">
        <v>45884</v>
      </c>
      <c r="B85" s="6">
        <v>231.59</v>
      </c>
      <c r="C85" s="8">
        <f t="shared" si="3"/>
        <v>-0.00511212303462496</v>
      </c>
      <c r="D85" s="7">
        <f t="shared" si="2"/>
        <v>2.61338019211431e-5</v>
      </c>
    </row>
    <row r="86" spans="1:4">
      <c r="A86" s="5">
        <v>45887</v>
      </c>
      <c r="B86" s="6">
        <v>230.89</v>
      </c>
      <c r="C86" s="8">
        <f t="shared" si="3"/>
        <v>-0.00302258301308354</v>
      </c>
      <c r="D86" s="7">
        <f t="shared" si="2"/>
        <v>9.13600807098117e-6</v>
      </c>
    </row>
    <row r="87" spans="1:4">
      <c r="A87" s="5">
        <v>45888</v>
      </c>
      <c r="B87" s="6">
        <v>230.56</v>
      </c>
      <c r="C87" s="8">
        <f t="shared" si="3"/>
        <v>-0.00142925202477363</v>
      </c>
      <c r="D87" s="7">
        <f t="shared" si="2"/>
        <v>2.04276135031953e-6</v>
      </c>
    </row>
    <row r="88" spans="1:4">
      <c r="A88" s="5">
        <v>45889</v>
      </c>
      <c r="B88" s="6">
        <v>226.01</v>
      </c>
      <c r="C88" s="8">
        <f t="shared" si="3"/>
        <v>-0.019734559333796</v>
      </c>
      <c r="D88" s="7">
        <f t="shared" si="2"/>
        <v>0.000389452832099116</v>
      </c>
    </row>
    <row r="89" spans="1:4">
      <c r="A89" s="5">
        <v>45890</v>
      </c>
      <c r="B89" s="6">
        <v>224.9</v>
      </c>
      <c r="C89" s="8">
        <f t="shared" si="3"/>
        <v>-0.00491128711118971</v>
      </c>
      <c r="D89" s="7">
        <f t="shared" si="2"/>
        <v>2.41207410885381e-5</v>
      </c>
    </row>
    <row r="90" spans="1:4">
      <c r="A90" s="5">
        <v>45891</v>
      </c>
      <c r="B90" s="6">
        <v>227.76</v>
      </c>
      <c r="C90" s="8">
        <f t="shared" si="3"/>
        <v>0.0127167630057803</v>
      </c>
      <c r="D90" s="7">
        <f t="shared" si="2"/>
        <v>0.000161716061345182</v>
      </c>
    </row>
    <row r="91" spans="1:4">
      <c r="A91" s="5">
        <v>45894</v>
      </c>
      <c r="B91" s="6">
        <v>227.16</v>
      </c>
      <c r="C91" s="8">
        <f t="shared" si="3"/>
        <v>-0.00263435194942042</v>
      </c>
      <c r="D91" s="7">
        <f t="shared" si="2"/>
        <v>6.93981019341516e-6</v>
      </c>
    </row>
    <row r="92" spans="1:4">
      <c r="A92" s="5">
        <v>45895</v>
      </c>
      <c r="B92" s="6">
        <v>229.31</v>
      </c>
      <c r="C92" s="8">
        <f t="shared" si="3"/>
        <v>0.0094646944884663</v>
      </c>
      <c r="D92" s="7">
        <f t="shared" si="2"/>
        <v>8.95804417600045e-5</v>
      </c>
    </row>
    <row r="93" spans="1:4">
      <c r="A93" s="5">
        <v>45896</v>
      </c>
      <c r="B93" s="6">
        <v>230.49</v>
      </c>
      <c r="C93" s="8">
        <f t="shared" si="3"/>
        <v>0.00514587239980815</v>
      </c>
      <c r="D93" s="7">
        <f t="shared" si="2"/>
        <v>2.64800027551073e-5</v>
      </c>
    </row>
    <row r="94" spans="1:4">
      <c r="A94" s="5">
        <v>45897</v>
      </c>
      <c r="B94" s="6">
        <v>232.56</v>
      </c>
      <c r="C94" s="8">
        <f t="shared" si="3"/>
        <v>0.00898086684888712</v>
      </c>
      <c r="D94" s="7">
        <f t="shared" si="2"/>
        <v>8.06559693574397e-5</v>
      </c>
    </row>
    <row r="95" spans="1:4">
      <c r="A95" s="5">
        <v>45898</v>
      </c>
      <c r="B95" s="6">
        <v>232.14</v>
      </c>
      <c r="C95" s="8">
        <f t="shared" si="3"/>
        <v>-0.00180598555211565</v>
      </c>
      <c r="D95" s="7">
        <f t="shared" si="2"/>
        <v>3.26158381445047e-6</v>
      </c>
    </row>
    <row r="96" spans="1:4">
      <c r="A96" s="5">
        <v>45902</v>
      </c>
      <c r="B96" s="6">
        <v>229.72</v>
      </c>
      <c r="C96" s="8">
        <f t="shared" si="3"/>
        <v>-0.010424743689153</v>
      </c>
      <c r="D96" s="7">
        <f t="shared" si="2"/>
        <v>0.000108675280984536</v>
      </c>
    </row>
    <row r="97" spans="1:4">
      <c r="A97" s="5">
        <v>45903</v>
      </c>
      <c r="B97" s="6">
        <v>238.47</v>
      </c>
      <c r="C97" s="8">
        <f t="shared" si="3"/>
        <v>0.0380898485112311</v>
      </c>
      <c r="D97" s="7">
        <f t="shared" si="2"/>
        <v>0.00145083655960853</v>
      </c>
    </row>
    <row r="98" spans="1:4">
      <c r="A98" s="5">
        <v>45904</v>
      </c>
      <c r="B98" s="6">
        <v>239.78</v>
      </c>
      <c r="C98" s="8">
        <f t="shared" si="3"/>
        <v>0.00549335346165137</v>
      </c>
      <c r="D98" s="7">
        <f t="shared" si="2"/>
        <v>3.01769322546371e-5</v>
      </c>
    </row>
    <row r="99" spans="1:4">
      <c r="A99" s="5">
        <v>45905</v>
      </c>
      <c r="B99" s="6">
        <v>239.69</v>
      </c>
      <c r="C99" s="8">
        <f t="shared" si="3"/>
        <v>-0.000375344065393291</v>
      </c>
      <c r="D99" s="7">
        <f t="shared" si="2"/>
        <v>1.40883167425963e-7</v>
      </c>
    </row>
    <row r="100" spans="1:4">
      <c r="A100" s="5">
        <v>45908</v>
      </c>
      <c r="B100" s="6">
        <v>237.88</v>
      </c>
      <c r="C100" s="8">
        <f t="shared" si="3"/>
        <v>-0.0075514205849222</v>
      </c>
      <c r="D100" s="7">
        <f t="shared" si="2"/>
        <v>5.70239528503867e-5</v>
      </c>
    </row>
    <row r="101" spans="1:4">
      <c r="A101" s="5">
        <v>45909</v>
      </c>
      <c r="B101" s="6">
        <v>234.35</v>
      </c>
      <c r="C101" s="8">
        <f t="shared" si="3"/>
        <v>-0.0148394148310072</v>
      </c>
      <c r="D101" s="7">
        <f t="shared" si="2"/>
        <v>0.000220208232526718</v>
      </c>
    </row>
    <row r="102" spans="1:4">
      <c r="A102" s="5">
        <v>45910</v>
      </c>
      <c r="B102" s="6">
        <v>226.79</v>
      </c>
      <c r="C102" s="8">
        <f t="shared" si="3"/>
        <v>-0.0322594410070408</v>
      </c>
      <c r="D102" s="7">
        <f t="shared" si="2"/>
        <v>0.00104067153408674</v>
      </c>
    </row>
    <row r="103" spans="1:4">
      <c r="A103" s="5">
        <v>45911</v>
      </c>
      <c r="B103" s="6">
        <v>230.03</v>
      </c>
      <c r="C103" s="8">
        <f t="shared" si="3"/>
        <v>0.0142863441950704</v>
      </c>
      <c r="D103" s="7">
        <f t="shared" si="2"/>
        <v>0.000204099630460021</v>
      </c>
    </row>
    <row r="104" spans="1:4">
      <c r="A104" s="5">
        <v>45912</v>
      </c>
      <c r="B104" s="6">
        <v>234.07</v>
      </c>
      <c r="C104" s="8">
        <f t="shared" si="3"/>
        <v>0.0175629265747946</v>
      </c>
      <c r="D104" s="7">
        <f t="shared" si="2"/>
        <v>0.000308456389871625</v>
      </c>
    </row>
    <row r="105" spans="1:4">
      <c r="A105" s="5">
        <v>45915</v>
      </c>
      <c r="B105" s="6">
        <v>236.7</v>
      </c>
      <c r="C105" s="8">
        <f t="shared" si="3"/>
        <v>0.0112359550561798</v>
      </c>
      <c r="D105" s="7">
        <f t="shared" si="2"/>
        <v>0.000126246686024491</v>
      </c>
    </row>
    <row r="106" spans="1:4">
      <c r="A106" s="5">
        <v>45916</v>
      </c>
      <c r="B106" s="6">
        <v>238.15</v>
      </c>
      <c r="C106" s="8">
        <f t="shared" si="3"/>
        <v>0.00612589776087882</v>
      </c>
      <c r="D106" s="7">
        <f t="shared" si="2"/>
        <v>3.75266233767402e-5</v>
      </c>
    </row>
    <row r="107" spans="1:4">
      <c r="A107" s="5">
        <v>45917</v>
      </c>
      <c r="B107" s="6">
        <v>238.99</v>
      </c>
      <c r="C107" s="8">
        <f t="shared" si="3"/>
        <v>0.0035271887465883</v>
      </c>
      <c r="D107" s="7">
        <f t="shared" si="2"/>
        <v>1.24410604540591e-5</v>
      </c>
    </row>
    <row r="108" spans="1:4">
      <c r="A108" s="5">
        <v>45918</v>
      </c>
      <c r="B108" s="6">
        <v>237.88</v>
      </c>
      <c r="C108" s="8">
        <f t="shared" si="3"/>
        <v>-0.00464454579689532</v>
      </c>
      <c r="D108" s="7">
        <f t="shared" si="2"/>
        <v>2.1571805659458e-5</v>
      </c>
    </row>
    <row r="109" spans="1:4">
      <c r="A109" s="5">
        <v>45919</v>
      </c>
      <c r="B109" s="6">
        <v>245.5</v>
      </c>
      <c r="C109" s="8">
        <f t="shared" si="3"/>
        <v>0.0320329577938457</v>
      </c>
      <c r="D109" s="7">
        <f t="shared" si="2"/>
        <v>0.0010261103850223</v>
      </c>
    </row>
    <row r="110" spans="1:4">
      <c r="A110" s="5">
        <v>45922</v>
      </c>
      <c r="B110" s="6">
        <v>256.08</v>
      </c>
      <c r="C110" s="8">
        <f t="shared" si="3"/>
        <v>0.0430957230142566</v>
      </c>
      <c r="D110" s="7">
        <f t="shared" si="2"/>
        <v>0.00185724134212152</v>
      </c>
    </row>
    <row r="111" spans="1:4">
      <c r="A111" s="5">
        <v>45923</v>
      </c>
      <c r="B111" s="6">
        <v>254.43</v>
      </c>
      <c r="C111" s="8">
        <f t="shared" si="3"/>
        <v>-0.00644329896907208</v>
      </c>
      <c r="D111" s="7">
        <f t="shared" si="2"/>
        <v>4.15161016048453e-5</v>
      </c>
    </row>
    <row r="112" spans="1:4">
      <c r="A112" s="5">
        <v>45924</v>
      </c>
      <c r="B112" s="6">
        <v>252.31</v>
      </c>
      <c r="C112" s="8">
        <f t="shared" si="3"/>
        <v>-0.00833235074480212</v>
      </c>
      <c r="D112" s="7">
        <f t="shared" si="2"/>
        <v>6.94280689344045e-5</v>
      </c>
    </row>
    <row r="113" spans="1:4">
      <c r="A113" s="5">
        <v>45925</v>
      </c>
      <c r="B113" s="6">
        <v>256.87</v>
      </c>
      <c r="C113" s="8">
        <f t="shared" si="3"/>
        <v>0.0180730054298284</v>
      </c>
      <c r="D113" s="7">
        <f t="shared" si="2"/>
        <v>0.000326633525266607</v>
      </c>
    </row>
    <row r="114" spans="1:4">
      <c r="A114" s="5">
        <v>45926</v>
      </c>
      <c r="B114" s="6">
        <v>255.46</v>
      </c>
      <c r="C114" s="8">
        <f t="shared" si="3"/>
        <v>-0.0054891579398139</v>
      </c>
      <c r="D114" s="7">
        <f t="shared" si="2"/>
        <v>3.0130854888222e-5</v>
      </c>
    </row>
    <row r="115" spans="1:4">
      <c r="A115" s="5">
        <v>45929</v>
      </c>
      <c r="B115" s="6">
        <v>254.43</v>
      </c>
      <c r="C115" s="8">
        <f t="shared" si="3"/>
        <v>-0.00403194237845456</v>
      </c>
      <c r="D115" s="7">
        <f t="shared" si="2"/>
        <v>1.62565593431778e-5</v>
      </c>
    </row>
    <row r="116" spans="1:4">
      <c r="A116" s="5">
        <v>45930</v>
      </c>
      <c r="B116" s="6">
        <v>254.63</v>
      </c>
      <c r="C116" s="8">
        <f t="shared" si="3"/>
        <v>0.000786070824981286</v>
      </c>
      <c r="D116" s="7">
        <f t="shared" si="2"/>
        <v>6.1790734188676e-7</v>
      </c>
    </row>
    <row r="117" spans="1:4">
      <c r="A117" s="5">
        <v>45931</v>
      </c>
      <c r="B117" s="6">
        <v>255.45</v>
      </c>
      <c r="C117" s="8">
        <f t="shared" si="3"/>
        <v>0.00322035895220513</v>
      </c>
      <c r="D117" s="7">
        <f t="shared" si="2"/>
        <v>1.03707117810477e-5</v>
      </c>
    </row>
    <row r="118" spans="1:4">
      <c r="A118" s="5">
        <v>45932</v>
      </c>
      <c r="B118" s="6">
        <v>257.13</v>
      </c>
      <c r="C118" s="8">
        <f t="shared" si="3"/>
        <v>0.00657662947739286</v>
      </c>
      <c r="D118" s="7">
        <f t="shared" si="2"/>
        <v>4.32520552829127e-5</v>
      </c>
    </row>
    <row r="119" spans="1:4">
      <c r="A119" s="5">
        <v>45933</v>
      </c>
      <c r="B119" s="6">
        <v>258.02</v>
      </c>
      <c r="C119" s="8">
        <f t="shared" si="3"/>
        <v>0.00346128417531982</v>
      </c>
      <c r="D119" s="7">
        <f t="shared" si="2"/>
        <v>1.19804881423194e-5</v>
      </c>
    </row>
    <row r="120" spans="1:4">
      <c r="A120" s="5">
        <v>45936</v>
      </c>
      <c r="B120" s="6">
        <v>256.69</v>
      </c>
      <c r="C120" s="8">
        <f t="shared" si="3"/>
        <v>-0.00515463917525767</v>
      </c>
      <c r="D120" s="7">
        <f t="shared" si="2"/>
        <v>2.65703050271011e-5</v>
      </c>
    </row>
    <row r="121" spans="1:4">
      <c r="A121" s="5">
        <v>45937</v>
      </c>
      <c r="B121" s="6">
        <v>256.48</v>
      </c>
      <c r="C121" s="8">
        <f t="shared" si="3"/>
        <v>-0.000818107444777668</v>
      </c>
      <c r="D121" s="7">
        <f t="shared" si="2"/>
        <v>6.69299791200645e-7</v>
      </c>
    </row>
    <row r="122" spans="1:4">
      <c r="A122" s="5">
        <v>45938</v>
      </c>
      <c r="B122" s="6">
        <v>258.06</v>
      </c>
      <c r="C122" s="8">
        <f t="shared" si="3"/>
        <v>0.00616032439176538</v>
      </c>
      <c r="D122" s="7">
        <f t="shared" si="2"/>
        <v>3.79495966117795e-5</v>
      </c>
    </row>
    <row r="123" spans="1:4">
      <c r="A123" s="5">
        <v>45939</v>
      </c>
      <c r="B123" s="6">
        <v>254.04</v>
      </c>
      <c r="C123" s="8">
        <f t="shared" si="3"/>
        <v>-0.0155777726110207</v>
      </c>
      <c r="D123" s="7">
        <f t="shared" si="2"/>
        <v>0.000242666999520668</v>
      </c>
    </row>
    <row r="124" spans="1:4">
      <c r="A124" s="5">
        <v>45940</v>
      </c>
      <c r="B124" s="6">
        <v>245.27</v>
      </c>
      <c r="C124" s="8">
        <f t="shared" si="3"/>
        <v>-0.0345221225003936</v>
      </c>
      <c r="D124" s="7">
        <f t="shared" si="2"/>
        <v>0.00119177694193218</v>
      </c>
    </row>
    <row r="125" spans="1:4">
      <c r="A125" s="5">
        <v>45943</v>
      </c>
      <c r="B125" s="6">
        <v>247.66</v>
      </c>
      <c r="C125" s="8">
        <f t="shared" si="3"/>
        <v>0.00974436335467031</v>
      </c>
      <c r="D125" s="7">
        <f t="shared" si="2"/>
        <v>9.49526171878416e-5</v>
      </c>
    </row>
    <row r="126" spans="1:4">
      <c r="A126" s="5">
        <v>45944</v>
      </c>
      <c r="B126" s="6">
        <v>247.77</v>
      </c>
      <c r="C126" s="8">
        <f t="shared" si="3"/>
        <v>0.000444157312444535</v>
      </c>
      <c r="D126" s="7">
        <f t="shared" si="2"/>
        <v>1.97275718197953e-7</v>
      </c>
    </row>
    <row r="127" spans="1:4">
      <c r="A127" s="5">
        <v>45945</v>
      </c>
      <c r="B127" s="6">
        <v>249.34</v>
      </c>
      <c r="C127" s="8">
        <f t="shared" si="3"/>
        <v>0.00633652177422607</v>
      </c>
      <c r="D127" s="7">
        <f t="shared" si="2"/>
        <v>4.01515081952411e-5</v>
      </c>
    </row>
    <row r="128" spans="1:4">
      <c r="A128" s="5">
        <v>45946</v>
      </c>
      <c r="B128" s="6">
        <v>247.45</v>
      </c>
      <c r="C128" s="8">
        <f t="shared" si="3"/>
        <v>-0.00758001122964633</v>
      </c>
      <c r="D128" s="7">
        <f t="shared" si="2"/>
        <v>5.74565702415644e-5</v>
      </c>
    </row>
    <row r="129" spans="1:4">
      <c r="A129" s="5">
        <v>45947</v>
      </c>
      <c r="B129" s="6">
        <v>252.29</v>
      </c>
      <c r="C129" s="8">
        <f t="shared" si="3"/>
        <v>0.0195595069711053</v>
      </c>
      <c r="D129" s="7">
        <f t="shared" si="2"/>
        <v>0.000382574312952716</v>
      </c>
    </row>
    <row r="130" spans="1:4">
      <c r="A130" s="5">
        <v>45950</v>
      </c>
      <c r="B130" s="6">
        <v>262.24</v>
      </c>
      <c r="C130" s="8">
        <f t="shared" si="3"/>
        <v>0.0394387411312379</v>
      </c>
      <c r="D130" s="7">
        <f t="shared" ref="D130:D193" si="4">(C130-$J$1)^2</f>
        <v>0.0015554143020168</v>
      </c>
    </row>
    <row r="131" spans="1:4">
      <c r="A131" s="5">
        <v>45951</v>
      </c>
      <c r="B131" s="6">
        <v>262.77</v>
      </c>
      <c r="C131" s="8">
        <f t="shared" ref="C131:C194" si="5">(B131-B130)/B130</f>
        <v>0.00202104942037818</v>
      </c>
      <c r="D131" s="7">
        <f t="shared" si="4"/>
        <v>4.08464075961096e-6</v>
      </c>
    </row>
    <row r="132" spans="1:4">
      <c r="A132" s="5">
        <v>45952</v>
      </c>
      <c r="B132" s="6">
        <v>258.45</v>
      </c>
      <c r="C132" s="8">
        <f t="shared" si="5"/>
        <v>-0.0164402329032994</v>
      </c>
      <c r="D132" s="7">
        <f t="shared" si="4"/>
        <v>0.000270281257914729</v>
      </c>
    </row>
    <row r="133" spans="1:4">
      <c r="A133" s="5">
        <v>45953</v>
      </c>
      <c r="B133" s="6">
        <v>259.58</v>
      </c>
      <c r="C133" s="8">
        <f t="shared" si="5"/>
        <v>0.00437221899787191</v>
      </c>
      <c r="D133" s="7">
        <f t="shared" si="4"/>
        <v>1.91162989653521e-5</v>
      </c>
    </row>
    <row r="134" spans="1:4">
      <c r="A134" s="5">
        <v>45954</v>
      </c>
      <c r="B134" s="6">
        <v>262.82</v>
      </c>
      <c r="C134" s="8">
        <f t="shared" si="5"/>
        <v>0.0124817012096464</v>
      </c>
      <c r="D134" s="7">
        <f t="shared" si="4"/>
        <v>0.000155792865086888</v>
      </c>
    </row>
    <row r="135" spans="1:4">
      <c r="A135" s="5">
        <v>45957</v>
      </c>
      <c r="B135" s="6">
        <v>268.81</v>
      </c>
      <c r="C135" s="8">
        <f t="shared" si="5"/>
        <v>0.0227912639829541</v>
      </c>
      <c r="D135" s="7">
        <f t="shared" si="4"/>
        <v>0.000519441713940703</v>
      </c>
    </row>
    <row r="136" spans="1:4">
      <c r="A136" s="5">
        <v>45958</v>
      </c>
      <c r="B136" s="6">
        <v>269</v>
      </c>
      <c r="C136" s="8">
        <f t="shared" si="5"/>
        <v>0.000706818942747657</v>
      </c>
      <c r="D136" s="7">
        <f t="shared" si="4"/>
        <v>4.99593017826916e-7</v>
      </c>
    </row>
    <row r="137" spans="1:4">
      <c r="A137" s="5">
        <v>45959</v>
      </c>
      <c r="B137" s="6">
        <v>269.7</v>
      </c>
      <c r="C137" s="8">
        <f t="shared" si="5"/>
        <v>0.00260223048327133</v>
      </c>
      <c r="D137" s="7">
        <f t="shared" si="4"/>
        <v>6.77160348806656e-6</v>
      </c>
    </row>
    <row r="138" spans="1:4">
      <c r="A138" s="5">
        <v>45960</v>
      </c>
      <c r="B138" s="6">
        <v>271.4</v>
      </c>
      <c r="C138" s="8">
        <f t="shared" si="5"/>
        <v>0.00630329996292172</v>
      </c>
      <c r="D138" s="7">
        <f t="shared" si="4"/>
        <v>3.9731590422569e-5</v>
      </c>
    </row>
    <row r="139" spans="1:4">
      <c r="A139" s="5">
        <v>45961</v>
      </c>
      <c r="B139" s="6">
        <v>270.37</v>
      </c>
      <c r="C139" s="8">
        <f t="shared" si="5"/>
        <v>-0.00379513633013991</v>
      </c>
      <c r="D139" s="7">
        <f t="shared" si="4"/>
        <v>1.44030597643479e-5</v>
      </c>
    </row>
    <row r="140" spans="1:4">
      <c r="A140" s="5">
        <v>45964</v>
      </c>
      <c r="B140" s="6">
        <v>269.05</v>
      </c>
      <c r="C140" s="8">
        <f t="shared" si="5"/>
        <v>-0.004882198468765</v>
      </c>
      <c r="D140" s="7">
        <f t="shared" si="4"/>
        <v>2.38358618884113e-5</v>
      </c>
    </row>
    <row r="141" spans="1:4">
      <c r="A141" s="5">
        <v>45965</v>
      </c>
      <c r="B141" s="6">
        <v>270.04</v>
      </c>
      <c r="C141" s="8">
        <f t="shared" si="5"/>
        <v>0.00367961345474822</v>
      </c>
      <c r="D141" s="7">
        <f t="shared" si="4"/>
        <v>1.35395551763641e-5</v>
      </c>
    </row>
    <row r="142" spans="1:4">
      <c r="A142" s="5">
        <v>45966</v>
      </c>
      <c r="B142" s="6">
        <v>270.14</v>
      </c>
      <c r="C142" s="8">
        <f t="shared" si="5"/>
        <v>0.000370315508813383</v>
      </c>
      <c r="D142" s="7">
        <f t="shared" si="4"/>
        <v>1.37133576067715e-7</v>
      </c>
    </row>
    <row r="143" spans="1:4">
      <c r="A143" s="5">
        <v>45967</v>
      </c>
      <c r="B143" s="6">
        <v>269.77</v>
      </c>
      <c r="C143" s="8">
        <f t="shared" si="5"/>
        <v>-0.00136966017620495</v>
      </c>
      <c r="D143" s="7">
        <f t="shared" si="4"/>
        <v>1.87596899828177e-6</v>
      </c>
    </row>
    <row r="144" spans="1:4">
      <c r="A144" s="5">
        <v>45968</v>
      </c>
      <c r="B144" s="6">
        <v>268.47</v>
      </c>
      <c r="C144" s="8">
        <f t="shared" si="5"/>
        <v>-0.00481891982058774</v>
      </c>
      <c r="D144" s="7">
        <f t="shared" si="4"/>
        <v>2.32219882372534e-5</v>
      </c>
    </row>
    <row r="145" spans="1:4">
      <c r="A145" s="5">
        <v>45971</v>
      </c>
      <c r="B145" s="6">
        <v>269.43</v>
      </c>
      <c r="C145" s="8">
        <f t="shared" si="5"/>
        <v>0.00357581852720967</v>
      </c>
      <c r="D145" s="7">
        <f t="shared" si="4"/>
        <v>1.27864781395359e-5</v>
      </c>
    </row>
    <row r="146" spans="1:4">
      <c r="A146" s="5">
        <v>45972</v>
      </c>
      <c r="B146" s="6">
        <v>275.25</v>
      </c>
      <c r="C146" s="8">
        <f t="shared" si="5"/>
        <v>0.0216011580002227</v>
      </c>
      <c r="D146" s="7">
        <f t="shared" si="4"/>
        <v>0.000466610026950584</v>
      </c>
    </row>
    <row r="147" spans="1:4">
      <c r="A147" s="5">
        <v>45973</v>
      </c>
      <c r="B147" s="6">
        <v>273.47</v>
      </c>
      <c r="C147" s="8">
        <f t="shared" si="5"/>
        <v>-0.00646684831970926</v>
      </c>
      <c r="D147" s="7">
        <f t="shared" si="4"/>
        <v>4.18201271901264e-5</v>
      </c>
    </row>
    <row r="148" spans="1:4">
      <c r="A148" s="5">
        <v>45974</v>
      </c>
      <c r="B148" s="6">
        <v>272.95</v>
      </c>
      <c r="C148" s="8">
        <f t="shared" si="5"/>
        <v>-0.00190148828025026</v>
      </c>
      <c r="D148" s="7">
        <f t="shared" si="4"/>
        <v>3.61565767992909e-6</v>
      </c>
    </row>
    <row r="149" spans="1:4">
      <c r="A149" s="5">
        <v>45975</v>
      </c>
      <c r="B149" s="6">
        <v>272.41</v>
      </c>
      <c r="C149" s="8">
        <f t="shared" si="5"/>
        <v>-0.0019783843194723</v>
      </c>
      <c r="D149" s="7">
        <f t="shared" si="4"/>
        <v>3.91400451553387e-6</v>
      </c>
    </row>
    <row r="150" spans="1:4">
      <c r="A150" s="5">
        <v>45978</v>
      </c>
      <c r="B150" s="6">
        <v>267.46</v>
      </c>
      <c r="C150" s="8">
        <f t="shared" si="5"/>
        <v>-0.0181711390918103</v>
      </c>
      <c r="D150" s="7">
        <f t="shared" si="4"/>
        <v>0.000330190295893917</v>
      </c>
    </row>
    <row r="151" spans="1:4">
      <c r="A151" s="5">
        <v>45979</v>
      </c>
      <c r="B151" s="6">
        <v>267.44</v>
      </c>
      <c r="C151" s="8">
        <f t="shared" si="5"/>
        <v>-7.47775368278689e-5</v>
      </c>
      <c r="D151" s="7">
        <f t="shared" si="4"/>
        <v>5.59168001404329e-9</v>
      </c>
    </row>
    <row r="152" spans="1:4">
      <c r="A152" s="5">
        <v>45980</v>
      </c>
      <c r="B152" s="6">
        <v>268.56</v>
      </c>
      <c r="C152" s="8">
        <f t="shared" si="5"/>
        <v>0.00418785521986242</v>
      </c>
      <c r="D152" s="7">
        <f t="shared" si="4"/>
        <v>1.75381313425289e-5</v>
      </c>
    </row>
    <row r="153" spans="1:4">
      <c r="A153" s="5">
        <v>45981</v>
      </c>
      <c r="B153" s="6">
        <v>266.25</v>
      </c>
      <c r="C153" s="8">
        <f t="shared" si="5"/>
        <v>-0.00860142984807865</v>
      </c>
      <c r="D153" s="7">
        <f t="shared" si="4"/>
        <v>7.39845954314183e-5</v>
      </c>
    </row>
    <row r="154" spans="1:4">
      <c r="A154" s="5">
        <v>45982</v>
      </c>
      <c r="B154" s="6">
        <v>271.49</v>
      </c>
      <c r="C154" s="8">
        <f t="shared" si="5"/>
        <v>0.019680751173709</v>
      </c>
      <c r="D154" s="7">
        <f t="shared" si="4"/>
        <v>0.000387331966761446</v>
      </c>
    </row>
    <row r="155" spans="1:4">
      <c r="A155" s="5">
        <v>45985</v>
      </c>
      <c r="B155" s="6">
        <v>275.92</v>
      </c>
      <c r="C155" s="8">
        <f t="shared" si="5"/>
        <v>0.0163173597554238</v>
      </c>
      <c r="D155" s="7">
        <f t="shared" si="4"/>
        <v>0.000266256229387924</v>
      </c>
    </row>
    <row r="156" spans="1:4">
      <c r="A156" s="5">
        <v>45986</v>
      </c>
      <c r="B156" s="6">
        <v>276.97</v>
      </c>
      <c r="C156" s="8">
        <f t="shared" si="5"/>
        <v>0.00380545085532042</v>
      </c>
      <c r="D156" s="7">
        <f t="shared" si="4"/>
        <v>1.44814562122589e-5</v>
      </c>
    </row>
    <row r="157" spans="1:4">
      <c r="A157" s="5">
        <v>45987</v>
      </c>
      <c r="B157" s="6">
        <v>277.55</v>
      </c>
      <c r="C157" s="8">
        <f t="shared" si="5"/>
        <v>0.00209408961259336</v>
      </c>
      <c r="D157" s="7">
        <f t="shared" si="4"/>
        <v>4.38521130557143e-6</v>
      </c>
    </row>
    <row r="158" spans="1:4">
      <c r="A158" s="5">
        <v>45989</v>
      </c>
      <c r="B158" s="6">
        <v>278.85</v>
      </c>
      <c r="C158" s="8">
        <f t="shared" si="5"/>
        <v>0.00468384074941456</v>
      </c>
      <c r="D158" s="7">
        <f t="shared" si="4"/>
        <v>2.19383641658764e-5</v>
      </c>
    </row>
    <row r="159" spans="1:4">
      <c r="A159" s="5">
        <v>45992</v>
      </c>
      <c r="B159" s="6">
        <v>283.1</v>
      </c>
      <c r="C159" s="8">
        <f t="shared" si="5"/>
        <v>0.0152411690873229</v>
      </c>
      <c r="D159" s="7">
        <f t="shared" si="4"/>
        <v>0.000232293235148368</v>
      </c>
    </row>
    <row r="160" spans="1:4">
      <c r="A160" s="5">
        <v>45993</v>
      </c>
      <c r="B160" s="6">
        <v>286.19</v>
      </c>
      <c r="C160" s="8">
        <f t="shared" si="5"/>
        <v>0.0109148710702931</v>
      </c>
      <c r="D160" s="7">
        <f t="shared" si="4"/>
        <v>0.000119134410481121</v>
      </c>
    </row>
    <row r="161" spans="1:4">
      <c r="A161" s="5">
        <v>45994</v>
      </c>
      <c r="B161" s="6">
        <v>284.15</v>
      </c>
      <c r="C161" s="8">
        <f t="shared" si="5"/>
        <v>-0.00712813166078486</v>
      </c>
      <c r="D161" s="7">
        <f t="shared" si="4"/>
        <v>5.08102609734836e-5</v>
      </c>
    </row>
    <row r="162" spans="1:4">
      <c r="A162" s="5">
        <v>45995</v>
      </c>
      <c r="B162" s="6">
        <v>280.7</v>
      </c>
      <c r="C162" s="8">
        <f t="shared" si="5"/>
        <v>-0.0121414745732887</v>
      </c>
      <c r="D162" s="7">
        <f t="shared" si="4"/>
        <v>0.000147415404813816</v>
      </c>
    </row>
    <row r="163" spans="1:4">
      <c r="A163" s="5">
        <v>45996</v>
      </c>
      <c r="B163" s="6">
        <v>278.78</v>
      </c>
      <c r="C163" s="8">
        <f t="shared" si="5"/>
        <v>-0.00684004275026725</v>
      </c>
      <c r="D163" s="7">
        <f t="shared" si="4"/>
        <v>4.67861848254835e-5</v>
      </c>
    </row>
    <row r="164" spans="1:4">
      <c r="A164" s="5">
        <v>45999</v>
      </c>
      <c r="B164" s="6">
        <v>277.89</v>
      </c>
      <c r="C164" s="8">
        <f t="shared" si="5"/>
        <v>-0.00319248152665179</v>
      </c>
      <c r="D164" s="7">
        <f t="shared" si="4"/>
        <v>1.0191938298013e-5</v>
      </c>
    </row>
    <row r="165" spans="1:4">
      <c r="A165" s="5">
        <v>46000</v>
      </c>
      <c r="B165" s="6">
        <v>277.18</v>
      </c>
      <c r="C165" s="8">
        <f t="shared" si="5"/>
        <v>-0.00255496779301155</v>
      </c>
      <c r="D165" s="7">
        <f t="shared" si="4"/>
        <v>6.52786042332631e-6</v>
      </c>
    </row>
    <row r="166" spans="1:4">
      <c r="A166" s="5">
        <v>46001</v>
      </c>
      <c r="B166" s="6">
        <v>278.78</v>
      </c>
      <c r="C166" s="8">
        <f t="shared" si="5"/>
        <v>0.00577242225268766</v>
      </c>
      <c r="D166" s="7">
        <f t="shared" si="4"/>
        <v>3.33208586633237e-5</v>
      </c>
    </row>
    <row r="167" spans="1:4">
      <c r="A167" s="5">
        <v>46002</v>
      </c>
      <c r="B167" s="6">
        <v>278.03</v>
      </c>
      <c r="C167" s="8">
        <f t="shared" si="5"/>
        <v>-0.00269029342133582</v>
      </c>
      <c r="D167" s="7">
        <f t="shared" si="4"/>
        <v>7.2376786928828e-6</v>
      </c>
    </row>
    <row r="168" spans="1:4">
      <c r="A168" s="5">
        <v>46003</v>
      </c>
      <c r="B168" s="6">
        <v>278.28</v>
      </c>
      <c r="C168" s="8">
        <f t="shared" si="5"/>
        <v>0.000899183541344459</v>
      </c>
      <c r="D168" s="7">
        <f t="shared" si="4"/>
        <v>8.08531041024763e-7</v>
      </c>
    </row>
    <row r="169" spans="1:4">
      <c r="A169" s="5">
        <v>46006</v>
      </c>
      <c r="B169" s="6">
        <v>274.11</v>
      </c>
      <c r="C169" s="8">
        <f t="shared" si="5"/>
        <v>-0.0149849072876238</v>
      </c>
      <c r="D169" s="7">
        <f t="shared" si="4"/>
        <v>0.000224547446418682</v>
      </c>
    </row>
    <row r="170" spans="1:4">
      <c r="A170" s="5">
        <v>46007</v>
      </c>
      <c r="B170" s="6">
        <v>274.61</v>
      </c>
      <c r="C170" s="8">
        <f t="shared" si="5"/>
        <v>0.00182408522126154</v>
      </c>
      <c r="D170" s="7">
        <f t="shared" si="4"/>
        <v>3.32728689442475e-6</v>
      </c>
    </row>
    <row r="171" spans="1:4">
      <c r="A171" s="5">
        <v>46008</v>
      </c>
      <c r="B171" s="6">
        <v>271.84</v>
      </c>
      <c r="C171" s="8">
        <f t="shared" si="5"/>
        <v>-0.010087032518845</v>
      </c>
      <c r="D171" s="7">
        <f t="shared" si="4"/>
        <v>0.000101748225036237</v>
      </c>
    </row>
    <row r="172" spans="1:4">
      <c r="A172" s="5">
        <v>46009</v>
      </c>
      <c r="B172" s="6">
        <v>272.19</v>
      </c>
      <c r="C172" s="8">
        <f t="shared" si="5"/>
        <v>0.00128752207180703</v>
      </c>
      <c r="D172" s="7">
        <f t="shared" si="4"/>
        <v>1.65771308539026e-6</v>
      </c>
    </row>
    <row r="173" spans="1:4">
      <c r="A173" s="5">
        <v>46010</v>
      </c>
      <c r="B173" s="6">
        <v>273.67</v>
      </c>
      <c r="C173" s="8">
        <f t="shared" si="5"/>
        <v>0.00543737830192152</v>
      </c>
      <c r="D173" s="7">
        <f t="shared" si="4"/>
        <v>2.95650827982069e-5</v>
      </c>
    </row>
    <row r="174" spans="1:4">
      <c r="A174" s="5">
        <v>46013</v>
      </c>
      <c r="B174" s="6">
        <v>270.97</v>
      </c>
      <c r="C174" s="8">
        <f t="shared" si="5"/>
        <v>-0.00986589688310735</v>
      </c>
      <c r="D174" s="7">
        <f t="shared" si="4"/>
        <v>9.73359213081073e-5</v>
      </c>
    </row>
    <row r="175" spans="1:4">
      <c r="A175" s="5">
        <v>46014</v>
      </c>
      <c r="B175" s="6">
        <v>272.36</v>
      </c>
      <c r="C175" s="8">
        <f t="shared" si="5"/>
        <v>0.00512971915710221</v>
      </c>
      <c r="D175" s="7">
        <f t="shared" si="4"/>
        <v>2.63140186307414e-5</v>
      </c>
    </row>
    <row r="176" spans="1:4">
      <c r="A176" s="5">
        <v>46015</v>
      </c>
      <c r="B176" s="6">
        <v>273.81</v>
      </c>
      <c r="C176" s="8">
        <f t="shared" si="5"/>
        <v>0.00532383609928032</v>
      </c>
      <c r="D176" s="7">
        <f t="shared" si="4"/>
        <v>2.83432308120003e-5</v>
      </c>
    </row>
    <row r="177" spans="1:4">
      <c r="A177" s="5">
        <v>46017</v>
      </c>
      <c r="B177" s="6">
        <v>273.4</v>
      </c>
      <c r="C177" s="8">
        <f t="shared" si="5"/>
        <v>-0.00149738870019366</v>
      </c>
      <c r="D177" s="7">
        <f t="shared" si="4"/>
        <v>2.24217291946765e-6</v>
      </c>
    </row>
    <row r="178" spans="1:4">
      <c r="A178" s="5">
        <v>46020</v>
      </c>
      <c r="B178" s="6">
        <v>273.76</v>
      </c>
      <c r="C178" s="8">
        <f t="shared" si="5"/>
        <v>0.00131675201170451</v>
      </c>
      <c r="D178" s="7">
        <f t="shared" si="4"/>
        <v>1.73383586032788e-6</v>
      </c>
    </row>
    <row r="179" spans="1:4">
      <c r="A179" s="5">
        <v>46021</v>
      </c>
      <c r="B179" s="6">
        <v>273.08</v>
      </c>
      <c r="C179" s="8">
        <f t="shared" si="5"/>
        <v>-0.00248392752776157</v>
      </c>
      <c r="D179" s="7">
        <f t="shared" si="4"/>
        <v>6.16989596317169e-6</v>
      </c>
    </row>
    <row r="180" spans="1:4">
      <c r="A180" s="5">
        <v>46022</v>
      </c>
      <c r="B180" s="6">
        <v>271.86</v>
      </c>
      <c r="C180" s="8">
        <f t="shared" si="5"/>
        <v>-0.0044675552951515</v>
      </c>
      <c r="D180" s="7">
        <f t="shared" si="4"/>
        <v>1.99590503152362e-5</v>
      </c>
    </row>
    <row r="181" spans="1:4">
      <c r="A181" s="5">
        <v>46024</v>
      </c>
      <c r="B181" s="6">
        <v>271.01</v>
      </c>
      <c r="C181" s="8">
        <f t="shared" si="5"/>
        <v>-0.00312660928419048</v>
      </c>
      <c r="D181" s="7">
        <f t="shared" si="4"/>
        <v>9.77568561598608e-6</v>
      </c>
    </row>
    <row r="182" spans="1:4">
      <c r="A182" s="5">
        <v>46027</v>
      </c>
      <c r="B182" s="6">
        <v>267.26</v>
      </c>
      <c r="C182" s="8">
        <f t="shared" si="5"/>
        <v>-0.0138371277812627</v>
      </c>
      <c r="D182" s="7">
        <f t="shared" si="4"/>
        <v>0.000191466105234992</v>
      </c>
    </row>
    <row r="183" spans="1:4">
      <c r="A183" s="5">
        <v>46028</v>
      </c>
      <c r="B183" s="6">
        <v>262.36</v>
      </c>
      <c r="C183" s="8">
        <f t="shared" si="5"/>
        <v>-0.0183342063907804</v>
      </c>
      <c r="D183" s="7">
        <f t="shared" si="4"/>
        <v>0.000336143123979734</v>
      </c>
    </row>
    <row r="184" spans="1:4">
      <c r="A184" s="5">
        <v>46029</v>
      </c>
      <c r="B184" s="6">
        <v>260.33</v>
      </c>
      <c r="C184" s="8">
        <f t="shared" si="5"/>
        <v>-0.00773745997865539</v>
      </c>
      <c r="D184" s="7">
        <f t="shared" si="4"/>
        <v>5.98682869212939e-5</v>
      </c>
    </row>
    <row r="185" spans="1:4">
      <c r="A185" s="5">
        <v>46030</v>
      </c>
      <c r="B185" s="6">
        <v>259.04</v>
      </c>
      <c r="C185" s="8">
        <f t="shared" si="5"/>
        <v>-0.00495524910690264</v>
      </c>
      <c r="D185" s="7">
        <f t="shared" si="4"/>
        <v>2.45544937114594e-5</v>
      </c>
    </row>
    <row r="186" spans="1:4">
      <c r="A186" s="5">
        <v>46031</v>
      </c>
      <c r="B186" s="6">
        <v>259.37</v>
      </c>
      <c r="C186" s="8">
        <f t="shared" si="5"/>
        <v>0.00127393452748604</v>
      </c>
      <c r="D186" s="7">
        <f t="shared" si="4"/>
        <v>1.62290918032108e-6</v>
      </c>
    </row>
    <row r="187" spans="1:4">
      <c r="A187" s="5">
        <v>46034</v>
      </c>
      <c r="B187" s="6">
        <v>260.25</v>
      </c>
      <c r="C187" s="8">
        <f t="shared" si="5"/>
        <v>0.00339283648841422</v>
      </c>
      <c r="D187" s="7">
        <f t="shared" si="4"/>
        <v>1.15113394371149e-5</v>
      </c>
    </row>
    <row r="188" spans="1:4">
      <c r="A188" s="5">
        <v>46035</v>
      </c>
      <c r="B188" s="6">
        <v>261.05</v>
      </c>
      <c r="C188" s="8">
        <f t="shared" si="5"/>
        <v>0.00307396733909707</v>
      </c>
      <c r="D188" s="7">
        <f t="shared" si="4"/>
        <v>9.4492752018355e-6</v>
      </c>
    </row>
    <row r="189" spans="1:4">
      <c r="A189" s="5">
        <v>46036</v>
      </c>
      <c r="B189" s="6">
        <v>259.96</v>
      </c>
      <c r="C189" s="8">
        <f t="shared" si="5"/>
        <v>-0.0041754453169892</v>
      </c>
      <c r="D189" s="7">
        <f t="shared" si="4"/>
        <v>1.74343435951671e-5</v>
      </c>
    </row>
    <row r="190" spans="1:4">
      <c r="A190" s="5">
        <v>46037</v>
      </c>
      <c r="B190" s="6">
        <v>258.21</v>
      </c>
      <c r="C190" s="8">
        <f t="shared" si="5"/>
        <v>-0.00673180489306047</v>
      </c>
      <c r="D190" s="7">
        <f t="shared" si="4"/>
        <v>4.53171971182329e-5</v>
      </c>
    </row>
    <row r="191" spans="1:4">
      <c r="A191" s="5">
        <v>46038</v>
      </c>
      <c r="B191" s="6">
        <v>255.53</v>
      </c>
      <c r="C191" s="8">
        <f t="shared" si="5"/>
        <v>-0.0103791487548893</v>
      </c>
      <c r="D191" s="7">
        <f t="shared" si="4"/>
        <v>0.000107726728876121</v>
      </c>
    </row>
    <row r="192" spans="1:4">
      <c r="A192" s="5">
        <v>46042</v>
      </c>
      <c r="B192" s="6">
        <v>246.7</v>
      </c>
      <c r="C192" s="8">
        <f t="shared" si="5"/>
        <v>-0.0345556294759911</v>
      </c>
      <c r="D192" s="7">
        <f t="shared" si="4"/>
        <v>0.00119409152848199</v>
      </c>
    </row>
    <row r="193" spans="1:4">
      <c r="A193" s="5">
        <v>46043</v>
      </c>
      <c r="B193" s="6">
        <v>247.65</v>
      </c>
      <c r="C193" s="8">
        <f t="shared" si="5"/>
        <v>0.00385083096878807</v>
      </c>
      <c r="D193" s="7">
        <f t="shared" si="4"/>
        <v>1.48288991501773e-5</v>
      </c>
    </row>
    <row r="194" spans="1:4">
      <c r="A194" s="5">
        <v>46044</v>
      </c>
      <c r="B194" s="6">
        <v>248.35</v>
      </c>
      <c r="C194" s="8">
        <f t="shared" si="5"/>
        <v>0.00282656975570357</v>
      </c>
      <c r="D194" s="7">
        <f t="shared" ref="D194:D251" si="6">(C194-$J$1)^2</f>
        <v>7.98949658385813e-6</v>
      </c>
    </row>
    <row r="195" spans="1:4">
      <c r="A195" s="5">
        <v>46045</v>
      </c>
      <c r="B195" s="6">
        <v>248.04</v>
      </c>
      <c r="C195" s="8">
        <f t="shared" ref="C195:C251" si="7">(B195-B194)/B194</f>
        <v>-0.00124823837326355</v>
      </c>
      <c r="D195" s="7">
        <f t="shared" si="6"/>
        <v>1.55809903648763e-6</v>
      </c>
    </row>
    <row r="196" spans="1:4">
      <c r="A196" s="5">
        <v>46048</v>
      </c>
      <c r="B196" s="6">
        <v>255.41</v>
      </c>
      <c r="C196" s="8">
        <f t="shared" si="7"/>
        <v>0.0297129495242703</v>
      </c>
      <c r="D196" s="7">
        <f t="shared" si="6"/>
        <v>0.000882859369431835</v>
      </c>
    </row>
    <row r="197" spans="1:4">
      <c r="A197" s="5">
        <v>46049</v>
      </c>
      <c r="B197" s="6">
        <v>258.27</v>
      </c>
      <c r="C197" s="8">
        <f t="shared" si="7"/>
        <v>0.0111976821580987</v>
      </c>
      <c r="D197" s="7">
        <f t="shared" si="6"/>
        <v>0.000125388085713802</v>
      </c>
    </row>
    <row r="198" spans="1:4">
      <c r="A198" s="5">
        <v>46050</v>
      </c>
      <c r="B198" s="6">
        <v>256.44</v>
      </c>
      <c r="C198" s="8">
        <f t="shared" si="7"/>
        <v>-0.00708560808456261</v>
      </c>
      <c r="D198" s="7">
        <f t="shared" si="6"/>
        <v>5.0205841928019e-5</v>
      </c>
    </row>
    <row r="199" spans="1:4">
      <c r="A199" s="5">
        <v>46051</v>
      </c>
      <c r="B199" s="6">
        <v>258.28</v>
      </c>
      <c r="C199" s="8">
        <f t="shared" si="7"/>
        <v>0.00717516768054896</v>
      </c>
      <c r="D199" s="7">
        <f t="shared" si="6"/>
        <v>5.14830312439943e-5</v>
      </c>
    </row>
    <row r="200" spans="1:4">
      <c r="A200" s="5">
        <v>46052</v>
      </c>
      <c r="B200" s="6">
        <v>259.48</v>
      </c>
      <c r="C200" s="8">
        <f t="shared" si="7"/>
        <v>0.00464612048939153</v>
      </c>
      <c r="D200" s="7">
        <f t="shared" si="6"/>
        <v>2.15864356019438e-5</v>
      </c>
    </row>
    <row r="201" spans="1:4">
      <c r="A201" s="5">
        <v>46055</v>
      </c>
      <c r="B201" s="6">
        <v>270.01</v>
      </c>
      <c r="C201" s="8">
        <f t="shared" si="7"/>
        <v>0.0405811623246492</v>
      </c>
      <c r="D201" s="7">
        <f t="shared" si="6"/>
        <v>0.00164683073561953</v>
      </c>
    </row>
    <row r="202" spans="1:4">
      <c r="A202" s="5">
        <v>46056</v>
      </c>
      <c r="B202" s="6">
        <v>269.48</v>
      </c>
      <c r="C202" s="8">
        <f t="shared" si="7"/>
        <v>-0.00196289026332348</v>
      </c>
      <c r="D202" s="7">
        <f t="shared" si="6"/>
        <v>3.85293818585012e-6</v>
      </c>
    </row>
    <row r="203" spans="1:4">
      <c r="A203" s="5">
        <v>46057</v>
      </c>
      <c r="B203" s="6">
        <v>276.49</v>
      </c>
      <c r="C203" s="8">
        <f t="shared" si="7"/>
        <v>0.0260130621938548</v>
      </c>
      <c r="D203" s="7">
        <f t="shared" si="6"/>
        <v>0.000676679404701358</v>
      </c>
    </row>
    <row r="204" spans="1:4">
      <c r="A204" s="5">
        <v>46058</v>
      </c>
      <c r="B204" s="6">
        <v>275.91</v>
      </c>
      <c r="C204" s="8">
        <f t="shared" si="7"/>
        <v>-0.00209772505334726</v>
      </c>
      <c r="D204" s="7">
        <f t="shared" si="6"/>
        <v>4.40045039944077e-6</v>
      </c>
    </row>
    <row r="205" spans="1:4">
      <c r="A205" s="5">
        <v>46059</v>
      </c>
      <c r="B205" s="6">
        <v>278.12</v>
      </c>
      <c r="C205" s="8">
        <f t="shared" si="7"/>
        <v>0.00800985828712254</v>
      </c>
      <c r="D205" s="7">
        <f t="shared" si="6"/>
        <v>6.41578297797856e-5</v>
      </c>
    </row>
    <row r="206" spans="1:4">
      <c r="A206" s="5">
        <v>46062</v>
      </c>
      <c r="B206" s="6">
        <v>274.62</v>
      </c>
      <c r="C206" s="8">
        <f t="shared" si="7"/>
        <v>-0.0125844959010499</v>
      </c>
      <c r="D206" s="7">
        <f t="shared" si="6"/>
        <v>0.000158369537083542</v>
      </c>
    </row>
    <row r="207" spans="1:4">
      <c r="A207" s="5">
        <v>46063</v>
      </c>
      <c r="B207" s="6">
        <v>273.68</v>
      </c>
      <c r="C207" s="8">
        <f t="shared" si="7"/>
        <v>-0.00342291165974801</v>
      </c>
      <c r="D207" s="7">
        <f t="shared" si="6"/>
        <v>1.17163242304389e-5</v>
      </c>
    </row>
    <row r="208" spans="1:4">
      <c r="A208" s="5">
        <v>46064</v>
      </c>
      <c r="B208" s="6">
        <v>275.5</v>
      </c>
      <c r="C208" s="8">
        <f t="shared" si="7"/>
        <v>0.00665010230926627</v>
      </c>
      <c r="D208" s="7">
        <f t="shared" si="6"/>
        <v>4.42238607237086e-5</v>
      </c>
    </row>
    <row r="209" spans="1:4">
      <c r="A209" s="5">
        <v>46065</v>
      </c>
      <c r="B209" s="6">
        <v>261.73</v>
      </c>
      <c r="C209" s="8">
        <f t="shared" si="7"/>
        <v>-0.0499818511796733</v>
      </c>
      <c r="D209" s="7">
        <f t="shared" si="6"/>
        <v>0.002498185447347</v>
      </c>
    </row>
    <row r="210" spans="1:4">
      <c r="A210" s="5">
        <v>46066</v>
      </c>
      <c r="B210" s="6">
        <v>255.78</v>
      </c>
      <c r="C210" s="8">
        <f t="shared" si="7"/>
        <v>-0.0227333511634127</v>
      </c>
      <c r="D210" s="7">
        <f t="shared" si="6"/>
        <v>0.000516805255119039</v>
      </c>
    </row>
    <row r="211" spans="1:4">
      <c r="A211" s="5">
        <v>46070</v>
      </c>
      <c r="B211" s="6">
        <v>263.88</v>
      </c>
      <c r="C211" s="8">
        <f t="shared" si="7"/>
        <v>0.0316678395496129</v>
      </c>
      <c r="D211" s="7">
        <f t="shared" si="6"/>
        <v>0.00100285206174003</v>
      </c>
    </row>
    <row r="212" spans="1:4">
      <c r="A212" s="5">
        <v>46071</v>
      </c>
      <c r="B212" s="6">
        <v>264.35</v>
      </c>
      <c r="C212" s="8">
        <f t="shared" si="7"/>
        <v>0.00178111262695175</v>
      </c>
      <c r="D212" s="7">
        <f t="shared" si="6"/>
        <v>3.17236218988696e-6</v>
      </c>
    </row>
    <row r="213" spans="1:4">
      <c r="A213" s="5">
        <v>46072</v>
      </c>
      <c r="B213" s="6">
        <v>260.58</v>
      </c>
      <c r="C213" s="8">
        <f t="shared" si="7"/>
        <v>-0.0142613958766788</v>
      </c>
      <c r="D213" s="7">
        <f t="shared" si="6"/>
        <v>0.000203387412351351</v>
      </c>
    </row>
    <row r="214" spans="1:4">
      <c r="A214" s="5">
        <v>46073</v>
      </c>
      <c r="B214" s="6">
        <v>264.58</v>
      </c>
      <c r="C214" s="8">
        <f t="shared" si="7"/>
        <v>0.015350372246527</v>
      </c>
      <c r="D214" s="7">
        <f t="shared" si="6"/>
        <v>0.000235633928106946</v>
      </c>
    </row>
    <row r="215" spans="1:4">
      <c r="A215" s="5">
        <v>46076</v>
      </c>
      <c r="B215" s="6">
        <v>266.18</v>
      </c>
      <c r="C215" s="8">
        <f t="shared" si="7"/>
        <v>0.00604732028120048</v>
      </c>
      <c r="D215" s="7">
        <f t="shared" si="6"/>
        <v>3.65700825834187e-5</v>
      </c>
    </row>
    <row r="216" spans="1:4">
      <c r="A216" s="5">
        <v>46077</v>
      </c>
      <c r="B216" s="6">
        <v>272.14</v>
      </c>
      <c r="C216" s="8">
        <f t="shared" si="7"/>
        <v>0.0223908633255691</v>
      </c>
      <c r="D216" s="7">
        <f t="shared" si="6"/>
        <v>0.000501350760464315</v>
      </c>
    </row>
    <row r="217" spans="1:4">
      <c r="A217" s="5">
        <v>46078</v>
      </c>
      <c r="B217" s="6">
        <v>274.23</v>
      </c>
      <c r="C217" s="8">
        <f t="shared" si="7"/>
        <v>0.00767987065481014</v>
      </c>
      <c r="D217" s="7">
        <f t="shared" si="6"/>
        <v>5.8980413274614e-5</v>
      </c>
    </row>
    <row r="218" spans="1:4">
      <c r="A218" s="5">
        <v>46079</v>
      </c>
      <c r="B218" s="6">
        <v>272.95</v>
      </c>
      <c r="C218" s="8">
        <f t="shared" si="7"/>
        <v>-0.00466761477591813</v>
      </c>
      <c r="D218" s="7">
        <f t="shared" si="6"/>
        <v>2.17866276963693e-5</v>
      </c>
    </row>
    <row r="219" spans="1:4">
      <c r="A219" s="5">
        <v>46080</v>
      </c>
      <c r="B219" s="6">
        <v>264.18</v>
      </c>
      <c r="C219" s="8">
        <f t="shared" si="7"/>
        <v>-0.0321304268180985</v>
      </c>
      <c r="D219" s="7">
        <f t="shared" si="6"/>
        <v>0.00103236432751318</v>
      </c>
    </row>
    <row r="220" spans="1:4">
      <c r="A220" s="5">
        <v>46083</v>
      </c>
      <c r="B220" s="6">
        <v>264.72</v>
      </c>
      <c r="C220" s="8">
        <f t="shared" si="7"/>
        <v>0.00204406086759036</v>
      </c>
      <c r="D220" s="7">
        <f t="shared" si="6"/>
        <v>4.17818483041424e-6</v>
      </c>
    </row>
    <row r="221" spans="1:4">
      <c r="A221" s="5">
        <v>46084</v>
      </c>
      <c r="B221" s="6">
        <v>263.75</v>
      </c>
      <c r="C221" s="8">
        <f t="shared" si="7"/>
        <v>-0.00366424901783026</v>
      </c>
      <c r="D221" s="7">
        <f t="shared" si="6"/>
        <v>1.342672086467e-5</v>
      </c>
    </row>
    <row r="222" spans="1:4">
      <c r="A222" s="5">
        <v>46085</v>
      </c>
      <c r="B222" s="6">
        <v>262.52</v>
      </c>
      <c r="C222" s="8">
        <f t="shared" si="7"/>
        <v>-0.00466350710900481</v>
      </c>
      <c r="D222" s="7">
        <f t="shared" si="6"/>
        <v>2.17482985557384e-5</v>
      </c>
    </row>
    <row r="223" spans="1:4">
      <c r="A223" s="5">
        <v>46086</v>
      </c>
      <c r="B223" s="6">
        <v>260.29</v>
      </c>
      <c r="C223" s="8">
        <f t="shared" si="7"/>
        <v>-0.00849459088831312</v>
      </c>
      <c r="D223" s="7">
        <f t="shared" si="6"/>
        <v>7.21580743598124e-5</v>
      </c>
    </row>
    <row r="224" spans="1:4">
      <c r="A224" s="5">
        <v>46087</v>
      </c>
      <c r="B224" s="6">
        <v>257.46</v>
      </c>
      <c r="C224" s="8">
        <f t="shared" si="7"/>
        <v>-0.0108724883783474</v>
      </c>
      <c r="D224" s="7">
        <f t="shared" si="6"/>
        <v>0.000118211003537299</v>
      </c>
    </row>
    <row r="225" spans="1:4">
      <c r="A225" s="5">
        <v>46090</v>
      </c>
      <c r="B225" s="6">
        <v>259.88</v>
      </c>
      <c r="C225" s="8">
        <f t="shared" si="7"/>
        <v>0.00939951837178597</v>
      </c>
      <c r="D225" s="7">
        <f t="shared" si="6"/>
        <v>8.8350945621542e-5</v>
      </c>
    </row>
    <row r="226" spans="1:4">
      <c r="A226" s="5">
        <v>46091</v>
      </c>
      <c r="B226" s="6">
        <v>260.83</v>
      </c>
      <c r="C226" s="8">
        <f t="shared" si="7"/>
        <v>0.00365553332307214</v>
      </c>
      <c r="D226" s="7">
        <f t="shared" si="6"/>
        <v>1.33629238760909e-5</v>
      </c>
    </row>
    <row r="227" spans="1:4">
      <c r="A227" s="5">
        <v>46092</v>
      </c>
      <c r="B227" s="6">
        <v>260.81</v>
      </c>
      <c r="C227" s="8">
        <f t="shared" si="7"/>
        <v>-7.66782962081885e-5</v>
      </c>
      <c r="D227" s="7">
        <f t="shared" si="6"/>
        <v>5.8795611093907e-9</v>
      </c>
    </row>
    <row r="228" spans="1:4">
      <c r="A228" s="5">
        <v>46093</v>
      </c>
      <c r="B228" s="6">
        <v>255.76</v>
      </c>
      <c r="C228" s="8">
        <f t="shared" si="7"/>
        <v>-0.0193627544956099</v>
      </c>
      <c r="D228" s="7">
        <f t="shared" si="6"/>
        <v>0.00037491626165726</v>
      </c>
    </row>
    <row r="229" spans="1:4">
      <c r="A229" s="5">
        <v>46094</v>
      </c>
      <c r="B229" s="6">
        <v>250.12</v>
      </c>
      <c r="C229" s="8">
        <f t="shared" si="7"/>
        <v>-0.0220519236784485</v>
      </c>
      <c r="D229" s="7">
        <f t="shared" si="6"/>
        <v>0.000486287337920117</v>
      </c>
    </row>
    <row r="230" spans="1:4">
      <c r="A230" s="5">
        <v>46097</v>
      </c>
      <c r="B230" s="6">
        <v>252.82</v>
      </c>
      <c r="C230" s="8">
        <f t="shared" si="7"/>
        <v>0.0107948184871261</v>
      </c>
      <c r="D230" s="7">
        <f t="shared" si="6"/>
        <v>0.00011652810617</v>
      </c>
    </row>
    <row r="231" spans="1:4">
      <c r="A231" s="5">
        <v>46098</v>
      </c>
      <c r="B231" s="6">
        <v>254.23</v>
      </c>
      <c r="C231" s="8">
        <f t="shared" si="7"/>
        <v>0.00557709042006169</v>
      </c>
      <c r="D231" s="7">
        <f t="shared" si="6"/>
        <v>3.11039375535439e-5</v>
      </c>
    </row>
    <row r="232" spans="1:4">
      <c r="A232" s="5">
        <v>46099</v>
      </c>
      <c r="B232" s="6">
        <v>249.94</v>
      </c>
      <c r="C232" s="8">
        <f t="shared" si="7"/>
        <v>-0.0168744837352004</v>
      </c>
      <c r="D232" s="7">
        <f t="shared" si="6"/>
        <v>0.000284748201329542</v>
      </c>
    </row>
    <row r="233" spans="1:4">
      <c r="A233" s="5">
        <v>46100</v>
      </c>
      <c r="B233" s="6">
        <v>248.96</v>
      </c>
      <c r="C233" s="8">
        <f t="shared" si="7"/>
        <v>-0.00392094102584616</v>
      </c>
      <c r="D233" s="7">
        <f t="shared" si="6"/>
        <v>1.53737785281636e-5</v>
      </c>
    </row>
    <row r="234" spans="1:4">
      <c r="A234" s="5">
        <v>46101</v>
      </c>
      <c r="B234" s="6">
        <v>247.99</v>
      </c>
      <c r="C234" s="8">
        <f t="shared" si="7"/>
        <v>-0.00389620822622107</v>
      </c>
      <c r="D234" s="7">
        <f t="shared" si="6"/>
        <v>1.51804385420728e-5</v>
      </c>
    </row>
    <row r="235" spans="1:4">
      <c r="A235" s="5">
        <v>46104</v>
      </c>
      <c r="B235" s="6">
        <v>251.49</v>
      </c>
      <c r="C235" s="8">
        <f t="shared" si="7"/>
        <v>0.0141134723174322</v>
      </c>
      <c r="D235" s="7">
        <f t="shared" si="6"/>
        <v>0.000199190100854924</v>
      </c>
    </row>
    <row r="236" spans="1:4">
      <c r="A236" s="5">
        <v>46105</v>
      </c>
      <c r="B236" s="6">
        <v>251.64</v>
      </c>
      <c r="C236" s="8">
        <f t="shared" si="7"/>
        <v>0.000596445186687253</v>
      </c>
      <c r="D236" s="7">
        <f t="shared" si="6"/>
        <v>3.55746860722392e-7</v>
      </c>
    </row>
    <row r="237" spans="1:4">
      <c r="A237" s="5">
        <v>46106</v>
      </c>
      <c r="B237" s="6">
        <v>252.62</v>
      </c>
      <c r="C237" s="8">
        <f t="shared" si="7"/>
        <v>0.00389445239230654</v>
      </c>
      <c r="D237" s="7">
        <f t="shared" si="6"/>
        <v>1.51667594359421e-5</v>
      </c>
    </row>
    <row r="238" spans="1:4">
      <c r="A238" s="5">
        <v>46107</v>
      </c>
      <c r="B238" s="6">
        <v>252.89</v>
      </c>
      <c r="C238" s="8">
        <f t="shared" si="7"/>
        <v>0.00106879898662015</v>
      </c>
      <c r="D238" s="7">
        <f t="shared" si="6"/>
        <v>1.14233127380026e-6</v>
      </c>
    </row>
    <row r="239" spans="1:4">
      <c r="A239" s="5">
        <v>46108</v>
      </c>
      <c r="B239" s="6">
        <v>248.8</v>
      </c>
      <c r="C239" s="8">
        <f t="shared" si="7"/>
        <v>-0.0161730396615128</v>
      </c>
      <c r="D239" s="7">
        <f t="shared" si="6"/>
        <v>0.000261567211892867</v>
      </c>
    </row>
    <row r="240" spans="1:4">
      <c r="A240" s="5">
        <v>46111</v>
      </c>
      <c r="B240" s="6">
        <v>246.63</v>
      </c>
      <c r="C240" s="8">
        <f t="shared" si="7"/>
        <v>-0.00872186495176855</v>
      </c>
      <c r="D240" s="7">
        <f t="shared" si="6"/>
        <v>7.60709282368886e-5</v>
      </c>
    </row>
    <row r="241" spans="1:4">
      <c r="A241" s="5">
        <v>46112</v>
      </c>
      <c r="B241" s="6">
        <v>253.79</v>
      </c>
      <c r="C241" s="8">
        <f t="shared" si="7"/>
        <v>0.0290313424968576</v>
      </c>
      <c r="D241" s="7">
        <f t="shared" si="6"/>
        <v>0.000842818847169852</v>
      </c>
    </row>
    <row r="242" spans="1:4">
      <c r="A242" s="5">
        <v>46113</v>
      </c>
      <c r="B242" s="6">
        <v>255.63</v>
      </c>
      <c r="C242" s="8">
        <f t="shared" si="7"/>
        <v>0.00725008865597543</v>
      </c>
      <c r="D242" s="7">
        <f t="shared" si="6"/>
        <v>5.25637855195036e-5</v>
      </c>
    </row>
    <row r="243" spans="1:4">
      <c r="A243" s="5">
        <v>46114</v>
      </c>
      <c r="B243" s="6">
        <v>255.92</v>
      </c>
      <c r="C243" s="8">
        <f t="shared" si="7"/>
        <v>0.00113445213785546</v>
      </c>
      <c r="D243" s="7">
        <f t="shared" si="6"/>
        <v>1.28698165308483e-6</v>
      </c>
    </row>
    <row r="244" spans="1:4">
      <c r="A244" s="5">
        <v>46118</v>
      </c>
      <c r="B244" s="6">
        <v>258.86</v>
      </c>
      <c r="C244" s="8">
        <f t="shared" si="7"/>
        <v>0.0114879649890592</v>
      </c>
      <c r="D244" s="7">
        <f t="shared" si="6"/>
        <v>0.00013197333958985</v>
      </c>
    </row>
    <row r="245" spans="1:4">
      <c r="A245" s="5">
        <v>46119</v>
      </c>
      <c r="B245" s="6">
        <v>253.5</v>
      </c>
      <c r="C245" s="8">
        <f t="shared" si="7"/>
        <v>-0.0207061732210462</v>
      </c>
      <c r="D245" s="7">
        <f t="shared" si="6"/>
        <v>0.00042874560945997</v>
      </c>
    </row>
    <row r="246" spans="1:4">
      <c r="A246" s="5">
        <v>46120</v>
      </c>
      <c r="B246" s="6">
        <v>258.9</v>
      </c>
      <c r="C246" s="8">
        <f t="shared" si="7"/>
        <v>0.0213017751479289</v>
      </c>
      <c r="D246" s="7">
        <f t="shared" si="6"/>
        <v>0.000453765624452921</v>
      </c>
    </row>
    <row r="247" spans="1:4">
      <c r="A247" s="5">
        <v>46121</v>
      </c>
      <c r="B247" s="6">
        <v>260.49</v>
      </c>
      <c r="C247" s="8">
        <f t="shared" si="7"/>
        <v>0.00614136732329097</v>
      </c>
      <c r="D247" s="7">
        <f t="shared" si="6"/>
        <v>3.77163925995861e-5</v>
      </c>
    </row>
    <row r="248" spans="1:4">
      <c r="A248" s="5">
        <v>46122</v>
      </c>
      <c r="B248" s="6">
        <v>260.48</v>
      </c>
      <c r="C248" s="8">
        <f t="shared" si="7"/>
        <v>-3.83891896041725e-5</v>
      </c>
      <c r="D248" s="7">
        <f t="shared" si="6"/>
        <v>1.47372987846511e-9</v>
      </c>
    </row>
    <row r="249" spans="1:4">
      <c r="A249" s="5">
        <v>46125</v>
      </c>
      <c r="B249" s="6">
        <v>259.2</v>
      </c>
      <c r="C249" s="8">
        <f t="shared" si="7"/>
        <v>-0.00491400491400503</v>
      </c>
      <c r="D249" s="7">
        <f t="shared" si="6"/>
        <v>2.41474442948656e-5</v>
      </c>
    </row>
    <row r="250" spans="1:4">
      <c r="A250" s="5">
        <v>46126</v>
      </c>
      <c r="B250" s="6">
        <v>258.83</v>
      </c>
      <c r="C250" s="8">
        <f t="shared" si="7"/>
        <v>-0.00142746913580249</v>
      </c>
      <c r="D250" s="7">
        <f t="shared" si="6"/>
        <v>2.0376681336687e-6</v>
      </c>
    </row>
    <row r="251" spans="1:4">
      <c r="A251" s="5">
        <v>46127</v>
      </c>
      <c r="B251" s="6">
        <v>266.43</v>
      </c>
      <c r="C251" s="8">
        <f t="shared" si="7"/>
        <v>0.0293629022910792</v>
      </c>
      <c r="D251" s="7">
        <f t="shared" si="6"/>
        <v>0.000862180030955463</v>
      </c>
    </row>
  </sheetData>
  <mergeCells count="2">
    <mergeCell ref="G5:H5"/>
    <mergeCell ref="G6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risk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Rohma Shah Khan</cp:lastModifiedBy>
  <dcterms:created xsi:type="dcterms:W3CDTF">2026-04-16T05:22:00Z</dcterms:created>
  <dcterms:modified xsi:type="dcterms:W3CDTF">2026-04-16T07:12:27Z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9201E27D00E2441BA9DB53D9FE7A8948_13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